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27Grant.Stec\Downloads\"/>
    </mc:Choice>
  </mc:AlternateContent>
  <xr:revisionPtr revIDLastSave="0" documentId="8_{03324051-F073-42D9-B7FC-C90B3C005D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W 4-26 Order Approv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6" i="2"/>
  <c r="F62" i="2" s="1"/>
  <c r="J21" i="2" l="1"/>
  <c r="J20" i="2"/>
  <c r="J19" i="2"/>
  <c r="J18" i="2"/>
  <c r="F65" i="2"/>
  <c r="J53" i="2"/>
  <c r="F60" i="2" s="1"/>
  <c r="J17" i="2"/>
  <c r="J16" i="2"/>
  <c r="J15" i="2"/>
  <c r="J12" i="2"/>
  <c r="J13" i="2"/>
  <c r="J14" i="2"/>
  <c r="J11" i="2"/>
  <c r="J10" i="2"/>
  <c r="F61" i="2" s="1"/>
  <c r="J67" i="2"/>
  <c r="F67" i="2"/>
  <c r="F69" i="2" l="1"/>
</calcChain>
</file>

<file path=xl/sharedStrings.xml><?xml version="1.0" encoding="utf-8"?>
<sst xmlns="http://schemas.openxmlformats.org/spreadsheetml/2006/main" count="379" uniqueCount="169">
  <si>
    <t>889?</t>
  </si>
  <si>
    <t>Part Name</t>
  </si>
  <si>
    <t>Team/Project</t>
  </si>
  <si>
    <t>Justification</t>
  </si>
  <si>
    <t>Vendor</t>
  </si>
  <si>
    <t>Unit Cost</t>
  </si>
  <si>
    <t>Quantity</t>
  </si>
  <si>
    <t>Q. Descriptor</t>
  </si>
  <si>
    <t>Shipping</t>
  </si>
  <si>
    <t>Total Cost</t>
  </si>
  <si>
    <t>Delivery/Pickup</t>
  </si>
  <si>
    <t>Link</t>
  </si>
  <si>
    <t>Username</t>
  </si>
  <si>
    <t>Password</t>
  </si>
  <si>
    <t>Notes</t>
  </si>
  <si>
    <t xml:space="preserve"> =============================================================================================================== TOOLS/MACHINES/ORGANIZATION ===============================================================================================================================</t>
  </si>
  <si>
    <t>OSH Park</t>
  </si>
  <si>
    <t>Yes</t>
  </si>
  <si>
    <t>PCB Breakout Board</t>
  </si>
  <si>
    <t>Ground Station Electronics</t>
  </si>
  <si>
    <t>PCB Breakout board for DAQ System</t>
  </si>
  <si>
    <t>Osh Park</t>
  </si>
  <si>
    <t>Delivery</t>
  </si>
  <si>
    <t>OSH Park ~ Order Details</t>
  </si>
  <si>
    <t>bluehorizon.rocketry@afacademy.af.edu</t>
  </si>
  <si>
    <t>Ihaveabigrocket1!</t>
  </si>
  <si>
    <t>PAID</t>
  </si>
  <si>
    <t>MCU board and FC bottom board</t>
  </si>
  <si>
    <t>Flight computer MCU board &amp; bottom board</t>
  </si>
  <si>
    <t xml:space="preserve">MCU board and ALL FC boards </t>
  </si>
  <si>
    <t>https://oshpark.com/orders/fCxAZhAT/complete</t>
  </si>
  <si>
    <t>McMaster Carr</t>
  </si>
  <si>
    <t>Electrical-Insulating Garolite XX Tube</t>
  </si>
  <si>
    <t>Engine</t>
  </si>
  <si>
    <t>Ablative liner</t>
  </si>
  <si>
    <t>McMaster</t>
  </si>
  <si>
    <t>Electrical-Insulating Garolite XX Tube, Electrical-Insulating, 1-3/4" OD, 1-1/2" ID, 40" Long | McMaster-Carr</t>
  </si>
  <si>
    <t>DigiKey</t>
  </si>
  <si>
    <t>Solder Tip Thinner</t>
  </si>
  <si>
    <t>Avionics</t>
  </si>
  <si>
    <t xml:space="preserve">Fix the oxidized irons </t>
  </si>
  <si>
    <t>SMDTCLF Chip Quik Inc. | Solder Sponges, Tip Cleaners | DigiKey</t>
  </si>
  <si>
    <t>Solder Flux</t>
  </si>
  <si>
    <t xml:space="preserve">For soldering </t>
  </si>
  <si>
    <t>https://www.digikey.com/short/mp798tn0</t>
  </si>
  <si>
    <t>Solder Paste</t>
  </si>
  <si>
    <t>For making PCBs</t>
  </si>
  <si>
    <t>https://www.digikey.com/short/7437mnqw</t>
  </si>
  <si>
    <t>Servo Motor</t>
  </si>
  <si>
    <t>Controls</t>
  </si>
  <si>
    <t>For TVC rocket</t>
  </si>
  <si>
    <t>https://www.digikey.com/short/jqzdhfqf</t>
  </si>
  <si>
    <t>GSE power</t>
  </si>
  <si>
    <t xml:space="preserve">For powering mini pc </t>
  </si>
  <si>
    <t>Digikey</t>
  </si>
  <si>
    <t>https://www.digikey.com/en/products/detail/adafruit-industries-llc/5991/24892287?s=N4IgTCBcDaIIIBMCGAzATgVwJYBcAEArAJxECMIAugL5A</t>
  </si>
  <si>
    <t>Stlink programer</t>
  </si>
  <si>
    <t>Flight Computer Programer</t>
  </si>
  <si>
    <t>Stlink programmer</t>
  </si>
  <si>
    <t>https://www.digikey.com/en/products/detail/stmicroelectronics/STLINK-V3MINIE/16284301?gclsrc=aw.ds&amp;gad_source=1&amp;gad_campaignid=20243136172&amp;gclid=CjwKCAjwzevPBhBaEiwAplAxvjQH7BiBq1siGEFrSTbpAoW9XCqhQ0F-JsL0LZJOF5AS_2wPgG8CjBoC9gwQAvD_BwE</t>
  </si>
  <si>
    <t>Teensy 4.1</t>
  </si>
  <si>
    <t>Ground Station Microcontrollers</t>
  </si>
  <si>
    <t>Microcontroller</t>
  </si>
  <si>
    <t>20360 SparkFun Electronics | Embedded MCU, DSP Evaluation Boards | DigiKey</t>
  </si>
  <si>
    <t>Mosiac X5</t>
  </si>
  <si>
    <t>high performance gps</t>
  </si>
  <si>
    <t>23088 SparkFun Electronics | RF, RFID, Wireless Evaluation Boards | DigiKey</t>
  </si>
  <si>
    <t>STM32H757</t>
  </si>
  <si>
    <t xml:space="preserve">Flight Computer </t>
  </si>
  <si>
    <t>mcu</t>
  </si>
  <si>
    <t>STM32H757BIT6 STMicroelectronics | Microcontrollers | DigiKey</t>
  </si>
  <si>
    <t>TW-04-03-L-D-243-SM (Male header pins)</t>
  </si>
  <si>
    <t>male header pins</t>
  </si>
  <si>
    <t>TW-04-03-L-D-243-SM Samtec Inc. | Board Spacers, Stackers (Board to Board) | DigiKey</t>
  </si>
  <si>
    <t xml:space="preserve"> TLE-104-01-G-DV-A female header pins </t>
  </si>
  <si>
    <t>flight computer</t>
  </si>
  <si>
    <t>female socket pins</t>
  </si>
  <si>
    <t>TLE-104-01-G-DV-A Samtec Inc. | Headers, Receptacles, Female Sockets | DigiKey</t>
  </si>
  <si>
    <t>MS561101BA03-50</t>
  </si>
  <si>
    <t xml:space="preserve">flight computer </t>
  </si>
  <si>
    <t>baramoter</t>
  </si>
  <si>
    <t>MS561101BA03-50 TE Connectivity Measurement Specialties | Pressure Sensors, Transducers | DigiKey</t>
  </si>
  <si>
    <t>USBLC6-2SC6</t>
  </si>
  <si>
    <t>IC</t>
  </si>
  <si>
    <t>USBLC6-2SC6 STMicroelectronics | TVS Diodes | DigiKey</t>
  </si>
  <si>
    <t>No</t>
  </si>
  <si>
    <t>100nF</t>
  </si>
  <si>
    <t>Capacitor</t>
  </si>
  <si>
    <t>CC0603KRX7R9BB104 Yageo | 100nF 50V X7R 0603 Capacitor | DigiKey</t>
  </si>
  <si>
    <t>47uF</t>
  </si>
  <si>
    <t>GRM188R60J476ME01D Murata Electronics | Ceramic Capacitors | DigiKey</t>
  </si>
  <si>
    <t>GREEN LED</t>
  </si>
  <si>
    <t>LED</t>
  </si>
  <si>
    <t>150080GS75000 Würth Elektronik | Green 520nm LED 0805 | DigiKey</t>
  </si>
  <si>
    <t>STEMMA QT</t>
  </si>
  <si>
    <t>Connector</t>
  </si>
  <si>
    <t>SM04B-SRSS-TB JST | Connector Header SMD R/A 4pos 1mm | DigiKey</t>
  </si>
  <si>
    <t>USB4215-03-A_REVA</t>
  </si>
  <si>
    <t>USB4215-03-A GCT | USB-C 2.0 Receptacle Short Body | DigiKey</t>
  </si>
  <si>
    <t>10k</t>
  </si>
  <si>
    <t>Resistor</t>
  </si>
  <si>
    <t>RC0603FR-0710KL Yageo | 10kΩ 1% 0603 Resistor | DigiKey</t>
  </si>
  <si>
    <t>10uF</t>
  </si>
  <si>
    <t>GRM188Z71A106MA73J Murata Electronics | Ceramic Capacitors | DigiKey</t>
  </si>
  <si>
    <t>5k</t>
  </si>
  <si>
    <t>RC0603FR-105K1L YAGEO | Chip Resistor - Surface Mount | DigiKey</t>
  </si>
  <si>
    <t>23k</t>
  </si>
  <si>
    <t>RMCF0603FT23K2 Stackpole Electronics Inc | Chip Resistor - Surface Mount | DigiKey</t>
  </si>
  <si>
    <t>10nF</t>
  </si>
  <si>
    <t>C0603C103K4RECAUTO KEMET | Ceramic Capacitors | DigiKey</t>
  </si>
  <si>
    <t>2.2k</t>
  </si>
  <si>
    <t>RC0603FR-132K2L YAGEO | Chip Resistor - Surface Mount | DigiKey</t>
  </si>
  <si>
    <t>4.7uF</t>
  </si>
  <si>
    <t>GRM188R61C475ME11J Murata Electronics | Ceramic Capacitors | DigiKey</t>
  </si>
  <si>
    <t>2.2uF</t>
  </si>
  <si>
    <t>GRT188R61H225KE13D Murata Electronics | Ceramic Capacitors | DigiKey</t>
  </si>
  <si>
    <t>WS2812B-2020</t>
  </si>
  <si>
    <t>10 leds</t>
  </si>
  <si>
    <t>4684 Adafruit Industries LLC | LED Addressable, Specialty | DigiKey</t>
  </si>
  <si>
    <t>4.7k</t>
  </si>
  <si>
    <t>https://www.digikey.com/en/products/detail/yageo/RC0603FR-134K7L/13694150?gclsrc=aw.ds&amp;gad_source=1&amp;gad_campaignid=20232005509&amp;gclid=CjwKCAjwn4vQBhBsEiwAq3hhNyapD8FdMq13ZZPjh8q-GtxK3sl98knRBbhwe5nxVbXl4Tc-mRnWiBoCLq0QAvD_BwE</t>
  </si>
  <si>
    <t>1uF</t>
  </si>
  <si>
    <t>GRT188R61H105KE13D Murata Electronics | Ceramic Capacitors | DigiKey</t>
  </si>
  <si>
    <t>BNO085</t>
  </si>
  <si>
    <t>BNO085 CEVA Technologies | 9-Axis IMU | DigiKey</t>
  </si>
  <si>
    <t>BLUE LED</t>
  </si>
  <si>
    <t>150080BS75000 Würth Elektronik | LED Indication - Discrete | DigiKey</t>
  </si>
  <si>
    <t>22k</t>
  </si>
  <si>
    <t>RC0603FR-0722KL YAGEO | Chip Resistor - Surface Mount | DigiKey</t>
  </si>
  <si>
    <t>1.3k</t>
  </si>
  <si>
    <t>RC0603FR-071K3L YAGEO | Chip Resistor - Surface Mount | DigiKey</t>
  </si>
  <si>
    <t>2.2uF ESR&lt;100mohm</t>
  </si>
  <si>
    <t>LMK212B7225MGHT Taiyo Yuden | Ceramic Capacitors | DigiKey</t>
  </si>
  <si>
    <t>41.2k</t>
  </si>
  <si>
    <t>ERJ-3EKF4122V Panasonic Industry | Chip Resistor - Surface Mount | DigiKey</t>
  </si>
  <si>
    <t>MCP1826ST-3302E/DB</t>
  </si>
  <si>
    <t>MCP1826ST-3302E/DB Microchip | LDO 3.3V 1A SOT-223 | DigiKey</t>
  </si>
  <si>
    <t>ADS1115IDGS</t>
  </si>
  <si>
    <t>Flight Computer</t>
  </si>
  <si>
    <t>ADS1115IDGSR Texas Instruments | 16-Bit ADC 4-Ch I2C 10-VSSOP | DigiKey</t>
  </si>
  <si>
    <t>Screw_Terminal_01x04</t>
  </si>
  <si>
    <t>OSTVN04A150 On Shore Technology | 4-Pos Screw Terminal 2.54mm PCB | DigiKey</t>
  </si>
  <si>
    <t>Screw_Terminal_01x02</t>
  </si>
  <si>
    <t>OSTVN02A150 On Shore Technology | 2-Pos Screw Terminal 2.54mm PCB | DigiKey</t>
  </si>
  <si>
    <t>PPTC041LFBN-RC</t>
  </si>
  <si>
    <t>PPTC041LFBN-RC Sullins | 4-Pos Female Header 2.54mm PCB Tin | DigiKey</t>
  </si>
  <si>
    <t>Screw_Terminal_01x08</t>
  </si>
  <si>
    <t>OSTVN08A150 On Shore Technology | 8-Pos Screw Terminal 2.54mm PCB | DigiKey</t>
  </si>
  <si>
    <t>MCP23017T-E_SO</t>
  </si>
  <si>
    <t>MCP23017T-E/SO Microchip Technology | I2C 16-Bit I/O Expander 28-SOIC | DigiKey</t>
  </si>
  <si>
    <t>Amazon</t>
  </si>
  <si>
    <t>fire safe battery storage</t>
  </si>
  <si>
    <t>MISC</t>
  </si>
  <si>
    <t>saftey</t>
  </si>
  <si>
    <t>Amazon.com: 8 Pack LiPo Fireproof Explosionproof Safety Bag |ExpertPower|for Lithium Battery &amp; DJI Mavic &amp; DJI Phantom 3 Battery|Guard Charging and Storage Safe Bag (7.3 x 3.0 x 2.5 Inches) : Toys &amp; Games</t>
  </si>
  <si>
    <t>Supplier Totals + Shipping</t>
  </si>
  <si>
    <t>Amazon Shipping</t>
  </si>
  <si>
    <t>Digikey shipping*</t>
  </si>
  <si>
    <t>plus tarrif</t>
  </si>
  <si>
    <t>OSHPark</t>
  </si>
  <si>
    <t>Grainger Shipping</t>
  </si>
  <si>
    <t>Apogee Shipping</t>
  </si>
  <si>
    <t>Amain Shipping</t>
  </si>
  <si>
    <t>Mcmaster</t>
  </si>
  <si>
    <t>Mcmaster Shipping</t>
  </si>
  <si>
    <t>OSH park Shipping</t>
  </si>
  <si>
    <t>Airgas</t>
  </si>
  <si>
    <t>Airgas Online Fees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</si>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</sst>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9"/>
      <color rgb="FF222222"/>
      <name val="Arial"/>
      <family val="2"/>
    </font>
    <font>
      <sz val="10"/>
      <name val="Arial"/>
    </font>
    <font>
      <u/>
      <sz val="10"/>
      <color rgb="FF0563C1"/>
      <name val="Arial"/>
    </font>
  </fonts>
  <fills count="13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1"/>
    <xf numFmtId="0" fontId="0" fillId="0" borderId="1" xfId="0" applyBorder="1"/>
    <xf numFmtId="0" fontId="0" fillId="9" borderId="1" xfId="0" applyFill="1" applyBorder="1"/>
    <xf numFmtId="0" fontId="3" fillId="0" borderId="1" xfId="1" applyBorder="1"/>
    <xf numFmtId="0" fontId="4" fillId="0" borderId="1" xfId="0" applyFont="1" applyBorder="1" applyAlignment="1">
      <alignment horizontal="left" vertical="center" wrapText="1"/>
    </xf>
    <xf numFmtId="0" fontId="0" fillId="10" borderId="1" xfId="0" applyFill="1" applyBorder="1"/>
    <xf numFmtId="0" fontId="5" fillId="12" borderId="1" xfId="0" applyFont="1" applyFill="1" applyBorder="1" applyAlignment="1">
      <alignment vertical="center"/>
    </xf>
    <xf numFmtId="164" fontId="5" fillId="12" borderId="1" xfId="0" applyNumberFormat="1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0" fillId="12" borderId="1" xfId="0" applyFill="1" applyBorder="1"/>
    <xf numFmtId="0" fontId="3" fillId="12" borderId="1" xfId="1" applyFill="1" applyBorder="1" applyAlignment="1">
      <alignment vertical="center"/>
    </xf>
    <xf numFmtId="0" fontId="0" fillId="11" borderId="1" xfId="0" applyFill="1" applyBorder="1"/>
    <xf numFmtId="0" fontId="1" fillId="11" borderId="1" xfId="0" applyFont="1" applyFill="1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/>
    <xf numFmtId="0" fontId="0" fillId="7" borderId="1" xfId="0" applyFill="1" applyBorder="1"/>
    <xf numFmtId="0" fontId="1" fillId="7" borderId="1" xfId="0" applyFont="1" applyFill="1" applyBorder="1"/>
    <xf numFmtId="0" fontId="0" fillId="5" borderId="1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8" borderId="1" xfId="0" applyFill="1" applyBorder="1"/>
    <xf numFmtId="0" fontId="0" fillId="6" borderId="1" xfId="0" applyFill="1" applyBorder="1"/>
    <xf numFmtId="0" fontId="1" fillId="6" borderId="1" xfId="0" applyFont="1" applyFill="1" applyBorder="1"/>
    <xf numFmtId="0" fontId="1" fillId="0" borderId="1" xfId="0" applyFont="1" applyBorder="1"/>
    <xf numFmtId="8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samtec-inc/TW-04-03-L-D-243-SM/19064975?s=N4IgTCBcDaICoHUC0AGALKgzEgMkgIkmGtgMoCyIAugL5A" TargetMode="External"/><Relationship Id="rId18" Type="http://schemas.openxmlformats.org/officeDocument/2006/relationships/hyperlink" Target="mailto:bluehorizon.rocketry@afacademy.af.edu" TargetMode="External"/><Relationship Id="rId26" Type="http://schemas.openxmlformats.org/officeDocument/2006/relationships/hyperlink" Target="https://www.digikey.com/en/products/detail/microchip-technology/MCP1826ST-3302E-DB/1635505" TargetMode="External"/><Relationship Id="rId39" Type="http://schemas.openxmlformats.org/officeDocument/2006/relationships/hyperlink" Target="https://www.digikey.com/en/products/detail/taiyo-yuden/LMK212B7225MGHT/6563125" TargetMode="External"/><Relationship Id="rId3" Type="http://schemas.openxmlformats.org/officeDocument/2006/relationships/hyperlink" Target="https://www.mcmaster.com/8527K244/" TargetMode="External"/><Relationship Id="rId21" Type="http://schemas.openxmlformats.org/officeDocument/2006/relationships/hyperlink" Target="https://www.digikey.com/en/products/detail/wurth-electronics-inc/150080GS75000/4489915" TargetMode="External"/><Relationship Id="rId34" Type="http://schemas.openxmlformats.org/officeDocument/2006/relationships/hyperlink" Target="https://www.digikey.com/en/products/detail/adafruit-industries-llc/4684/13170959?gclsrc=aw.ds&amp;gad_source=1&amp;gad_campaignid=20228387720&amp;gclid=CjwKCAjwn4vQBhBsEiwAq3hhN-MVFtcjhAE8U78cfT_oLymbAnMvxyA1kKJPHmMBUkEq5UrT54kJqBoCZ5wQAvD_BwE" TargetMode="External"/><Relationship Id="rId42" Type="http://schemas.openxmlformats.org/officeDocument/2006/relationships/hyperlink" Target="https://www.digikey.com/en/products/detail/on-shore-technology-inc/OSTVN04A150/1588864" TargetMode="External"/><Relationship Id="rId47" Type="http://schemas.openxmlformats.org/officeDocument/2006/relationships/hyperlink" Target="https://www.digikey.com/en/products/detail/murata-electronics/GRM188R60J476ME01D/13996874" TargetMode="External"/><Relationship Id="rId50" Type="http://schemas.openxmlformats.org/officeDocument/2006/relationships/hyperlink" Target="https://oshpark.com/orders/fCxAZhAT/complete" TargetMode="External"/><Relationship Id="rId7" Type="http://schemas.openxmlformats.org/officeDocument/2006/relationships/hyperlink" Target="https://www.digikey.com/en/products/detail/adafruit-industries-llc/5991/24892287?s=N4IgTCBcDaIIIBMCGAzATgVwJYBcAEArAJxECMIAugL5A" TargetMode="External"/><Relationship Id="rId12" Type="http://schemas.openxmlformats.org/officeDocument/2006/relationships/hyperlink" Target="https://www.digikey.com/en/products/detail/stmicroelectronics/stm32h757bit6/10326811" TargetMode="External"/><Relationship Id="rId17" Type="http://schemas.openxmlformats.org/officeDocument/2006/relationships/hyperlink" Target="mailto:bluehorizon.rocketry@afacademy.af.edu" TargetMode="External"/><Relationship Id="rId25" Type="http://schemas.openxmlformats.org/officeDocument/2006/relationships/hyperlink" Target="https://www.digikey.com/en/products/detail/ceva-technologies-inc/BNO085/9445940" TargetMode="External"/><Relationship Id="rId33" Type="http://schemas.openxmlformats.org/officeDocument/2006/relationships/hyperlink" Target="https://www.digikey.com/en/products/detail/murata-electronics/GRT188R61H225KE13D/5416754?gclsrc=aw.ds&amp;gad_source=1&amp;gad_campaignid=20509818233&amp;gclid=CjwKCAjwn4vQBhBsEiwAq3hhN6GIrDzT1b08tzsDRp8YVyrYwNkGUM3dZFJPdDcCjUQXojofn0VAdxoCWjkQAvD_BwE" TargetMode="External"/><Relationship Id="rId38" Type="http://schemas.openxmlformats.org/officeDocument/2006/relationships/hyperlink" Target="https://www.digikey.com/en/products/detail/yageo/RC0603FR-071K3L/726858?gclsrc=aw.ds&amp;gad_source=1&amp;gad_campaignid=20232005509&amp;gclid=CjwKCAjwn4vQBhBsEiwAq3hhN3Va9Q3tohGAg46X0INK8XjNeuaqJzNuXDj7yIqcqnGoZHbzB5kB_BoCoUIQAvD_BwE" TargetMode="External"/><Relationship Id="rId46" Type="http://schemas.openxmlformats.org/officeDocument/2006/relationships/hyperlink" Target="https://www.digikey.com/en/products/detail/microchip-technology/MCP23017T-E-SO/964184" TargetMode="External"/><Relationship Id="rId2" Type="http://schemas.openxmlformats.org/officeDocument/2006/relationships/hyperlink" Target="mailto:bluehorizon.rocketry@afacademy.af.edu" TargetMode="External"/><Relationship Id="rId16" Type="http://schemas.openxmlformats.org/officeDocument/2006/relationships/hyperlink" Target="https://oshpark.com/orders/8rY8Rwty/complete" TargetMode="External"/><Relationship Id="rId20" Type="http://schemas.openxmlformats.org/officeDocument/2006/relationships/hyperlink" Target="https://www.digikey.com/en/products/detail/yageo/CC0603KRX7R9BB104/2103082" TargetMode="External"/><Relationship Id="rId29" Type="http://schemas.openxmlformats.org/officeDocument/2006/relationships/hyperlink" Target="https://www.digikey.com/en/products/detail/stackpole-electronics-inc/RMCF0603FT23K2/1713802" TargetMode="External"/><Relationship Id="rId41" Type="http://schemas.openxmlformats.org/officeDocument/2006/relationships/hyperlink" Target="https://www.digikey.com/en/products/detail/texas-instruments/ADS1115IDGSR/2231567" TargetMode="External"/><Relationship Id="rId1" Type="http://schemas.openxmlformats.org/officeDocument/2006/relationships/hyperlink" Target="https://www.mcmaster.com/8527K244/" TargetMode="External"/><Relationship Id="rId6" Type="http://schemas.openxmlformats.org/officeDocument/2006/relationships/hyperlink" Target="https://www.digikey.com/short/jqzdhfqf" TargetMode="External"/><Relationship Id="rId11" Type="http://schemas.openxmlformats.org/officeDocument/2006/relationships/hyperlink" Target="https://www.amazon.com/Fireproof-Explosionproof-ExpertPower-Lithium-Charging/dp/B07R4BY6Z3/ref=sxts_b2b_ccp_search_w_op?content-id=amzn1.sym.210cd1ea-e44d-496c-802a-e2b84397e3ce%3Aamzn1.sym.210cd1ea-e44d-496c-802a-e2b84397e3ce&amp;crid=14E60AMKBJYW9&amp;cv_ct_cx=fire+safe+battery+storage&amp;keywords=fire+safe+battery+storage&amp;pd_rd_i=B07R4BY6Z3&amp;pd_rd_r=dbdab64f-824c-4239-9009-aedde429baa3&amp;pd_rd_w=Doegc&amp;pd_rd_wg=ZDVR5&amp;pf_rd_p=210cd1ea-e44d-496c-802a-e2b84397e3ce&amp;pf_rd_r=CM1JDASAXERB0JN03ECN&amp;qid=1778086331&amp;sbo=RZvfv%2F%2FHxDF%2BO5021pAnSA%3D%3D&amp;sprefix=fire+safe+battery+storag%2Caps%2C213&amp;sr=1-5-d27bdacb-ad14-3372-97fb-5f5070035007" TargetMode="External"/><Relationship Id="rId24" Type="http://schemas.openxmlformats.org/officeDocument/2006/relationships/hyperlink" Target="https://www.digikey.com/en/products/detail/yageo/RC0603FR-0710KL/726880" TargetMode="External"/><Relationship Id="rId32" Type="http://schemas.openxmlformats.org/officeDocument/2006/relationships/hyperlink" Target="https://www.digikey.com/en/products/detail/murata-electronics/GRM188R61C475ME11J/10693161?gclsrc=aw.ds&amp;gad_source=1&amp;gad_campaignid=20509818233&amp;gclid=CjwKCAjwn4vQBhBsEiwAq3hhNwIcMd19zJS5u3BWm815skxDUMFOT6uhMqHV_HP_b-eC2OZ4p5kyqBoCDD0QAvD_BwE" TargetMode="External"/><Relationship Id="rId37" Type="http://schemas.openxmlformats.org/officeDocument/2006/relationships/hyperlink" Target="https://www.digikey.com/en/products/detail/yageo/RC0603FR-0722KL/727056?gclsrc=aw.ds&amp;gad_source=1&amp;gad_campaignid=20232005509&amp;gclid=CjwKCAjwn4vQBhBsEiwAq3hhN8Yt9lPriMYfqBbTQP5lVN7l3r2wq5zf3_1XVHCjHHh-NEw1JxFhwhoCVpsQAvD_BwE" TargetMode="External"/><Relationship Id="rId40" Type="http://schemas.openxmlformats.org/officeDocument/2006/relationships/hyperlink" Target="https://www.digikey.com/en/products/detail/panasonic-industry/ERJ-3EKF4122V/196347?gclsrc=aw.ds&amp;gad_source=1&amp;gad_campaignid=20232005509&amp;gclid=CjwKCAjwn4vQBhBsEiwAq3hhN6awjGykUmrUtsk9j-uvpBEz1lzyQSwEAlNiq69kOcDrfeC3zvLg0hoCRssQAvD_BwE" TargetMode="External"/><Relationship Id="rId45" Type="http://schemas.openxmlformats.org/officeDocument/2006/relationships/hyperlink" Target="https://www.digikey.com/en/products/detail/on-shore-technology-inc/OSTVN08A150/1588868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short/7437mnqw" TargetMode="External"/><Relationship Id="rId15" Type="http://schemas.openxmlformats.org/officeDocument/2006/relationships/hyperlink" Target="https://www.digikey.com/en/products/detail/te-connectivity-measurement-specialties/MS561101BA03-50/5277445" TargetMode="External"/><Relationship Id="rId23" Type="http://schemas.openxmlformats.org/officeDocument/2006/relationships/hyperlink" Target="https://www.digikey.com/en/products/detail/gct/USB4215-03-A/24395489" TargetMode="External"/><Relationship Id="rId28" Type="http://schemas.openxmlformats.org/officeDocument/2006/relationships/hyperlink" Target="https://www.digikey.com/en/products/detail/yageo/RC0603FR-105K1L/14286463?gclsrc=aw.ds&amp;gad_source=1&amp;gad_campaignid=20232005509&amp;gclid=CjwKCAjwn4vQBhBsEiwAq3hhN_0KU8WmZ7A9dyLRiJD4yzLYcp3Bi5MUMXUHPFWvKCClIkYP5CIoDRoCuvUQAvD_BwE" TargetMode="External"/><Relationship Id="rId36" Type="http://schemas.openxmlformats.org/officeDocument/2006/relationships/hyperlink" Target="https://www.digikey.com/en/products/detail/murata-electronics/GRT188R61H105KE13D/5416752?gclsrc=aw.ds&amp;gad_source=1&amp;gad_campaignid=20509818233&amp;gclid=CjwKCAjwn4vQBhBsEiwAq3hhN_dPMh_gAEiyhPO5pmFff7ls2F6Mc8YuC6XpRynxU3auz7kuzlYeQRoCrgcQAvD_BwE" TargetMode="External"/><Relationship Id="rId49" Type="http://schemas.openxmlformats.org/officeDocument/2006/relationships/hyperlink" Target="https://www.digikey.com/en/products/detail/w%C3%BCrth-elektronik/150080BS75000/4489912" TargetMode="External"/><Relationship Id="rId10" Type="http://schemas.openxmlformats.org/officeDocument/2006/relationships/hyperlink" Target="https://www.digikey.com/en/products/detail/sparkfun-electronics/23088/21709238?gclsrc=aw.ds&amp;gad_source=1&amp;gad_campaignid=20243136172&amp;gclid=CjwKCAjwzevPBhBaEiwAplAxvq5sFhxy2sIqJR0OH64K_egiAHGDhMq9VjoJruVG7IptmsYp5oE0EBoCLC0QAvD_BwE" TargetMode="External"/><Relationship Id="rId19" Type="http://schemas.openxmlformats.org/officeDocument/2006/relationships/hyperlink" Target="https://www.digikey.com/en/products/detail/stmicroelectronics/USBLC6-2SC6/1040559" TargetMode="External"/><Relationship Id="rId31" Type="http://schemas.openxmlformats.org/officeDocument/2006/relationships/hyperlink" Target="https://www.digikey.com/en/products/detail/yageo/RC0603FR-132K2L/13694214?gclsrc=aw.ds&amp;gad_source=1&amp;gad_campaignid=20232005509&amp;gclid=CjwKCAjwn4vQBhBsEiwAq3hhN82smXk-6kn-RJRxXjmLo0eCuKGvuNPqx9Ikk1gliBSiKBhMYkY5choCOs4QAvD_BwE" TargetMode="External"/><Relationship Id="rId44" Type="http://schemas.openxmlformats.org/officeDocument/2006/relationships/hyperlink" Target="https://www.digikey.com/en/products/detail/sullins-connector-solutions/PPTC041LFBN-RC/810144" TargetMode="External"/><Relationship Id="rId52" Type="http://schemas.openxmlformats.org/officeDocument/2006/relationships/hyperlink" Target="https://oshpark.com/orders/eWR4FPZK/complete" TargetMode="External"/><Relationship Id="rId4" Type="http://schemas.openxmlformats.org/officeDocument/2006/relationships/hyperlink" Target="https://www.digikey.com/short/mp798tn0" TargetMode="External"/><Relationship Id="rId9" Type="http://schemas.openxmlformats.org/officeDocument/2006/relationships/hyperlink" Target="https://www.digikey.com/en/products/detail/sparkfun-electronics/20360/16688096" TargetMode="External"/><Relationship Id="rId14" Type="http://schemas.openxmlformats.org/officeDocument/2006/relationships/hyperlink" Target="https://www.digikey.com/en/products/detail/samtec-inc/TLE-104-01-G-DV-A/6692813" TargetMode="External"/><Relationship Id="rId22" Type="http://schemas.openxmlformats.org/officeDocument/2006/relationships/hyperlink" Target="https://www.digikey.com/en/products/detail/jst-sales-america-inc/SM04B-SRSS-TB/926710" TargetMode="External"/><Relationship Id="rId27" Type="http://schemas.openxmlformats.org/officeDocument/2006/relationships/hyperlink" Target="https://www.digikey.com/en/products/detail/chip-quik-inc/SMDTCLF/2177048" TargetMode="External"/><Relationship Id="rId30" Type="http://schemas.openxmlformats.org/officeDocument/2006/relationships/hyperlink" Target="https://www.digikey.com/en/products/detail/kemet/C0603C103K4RECAUTO/8640474?gclsrc=aw.ds&amp;gad_source=1&amp;gad_campaignid=20228387720&amp;gclid=CjwKCAjwn4vQBhBsEiwAq3hhNw0-NZMRnznCQPpUXCS-Bg1d2bRi--8rJBNXqPnaoiT68Nx_VBVsERoCuVwQAvD_BwE" TargetMode="External"/><Relationship Id="rId35" Type="http://schemas.openxmlformats.org/officeDocument/2006/relationships/hyperlink" Target="https://www.digikey.com/en/products/detail/yageo/RC0603FR-134K7L/13694150?gclsrc=aw.ds&amp;gad_source=1&amp;gad_campaignid=20232005509&amp;gclid=CjwKCAjwn4vQBhBsEiwAq3hhNyapD8FdMq13ZZPjh8q-GtxK3sl98knRBbhwe5nxVbXl4Tc-mRnWiBoCLq0QAvD_BwE" TargetMode="External"/><Relationship Id="rId43" Type="http://schemas.openxmlformats.org/officeDocument/2006/relationships/hyperlink" Target="https://www.digikey.com/en/products/detail/on-shore-technology-inc/OSTVN02A150/1588862" TargetMode="External"/><Relationship Id="rId48" Type="http://schemas.openxmlformats.org/officeDocument/2006/relationships/hyperlink" Target="https://www.digikey.com/en/products/detail/murata-electronics/GRM188Z71A106MA73J/17854471?gclsrc=aw.ds&amp;gad_source=1&amp;gad_campaignid=20509818233&amp;gclid=CjwKCAjwn4vQBhBsEiwAq3hhN4neuUsx9VbOtJA5sbSTZaHk2YePnZEz3I5fUlQLIg9KMzgG37Eb3RoCinkQAvD_BwE" TargetMode="External"/><Relationship Id="rId8" Type="http://schemas.openxmlformats.org/officeDocument/2006/relationships/hyperlink" Target="https://www.digikey.com/en/products/detail/stmicroelectronics/STLINK-V3MINIE/16284301?gclsrc=aw.ds&amp;gad_source=1&amp;gad_campaignid=20243136172&amp;gclid=CjwKCAjwzevPBhBaEiwAplAxvjQH7BiBq1siGEFrSTbpAoW9XCqhQ0F-JsL0LZJOF5AS_2wPgG8CjBoC9gwQAvD_BwE" TargetMode="External"/><Relationship Id="rId51" Type="http://schemas.openxmlformats.org/officeDocument/2006/relationships/hyperlink" Target="mailto:bluehorizon.rocketry@afacademy.af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8FB4-584D-45FC-B1AA-F82B44805B2F}">
  <dimension ref="A1:P69"/>
  <sheetViews>
    <sheetView tabSelected="1" zoomScale="70" zoomScaleNormal="70" workbookViewId="0">
      <pane xSplit="1" topLeftCell="C1" activePane="topRight" state="frozen"/>
      <selection pane="topRight" activeCell="D8" sqref="D8"/>
    </sheetView>
  </sheetViews>
  <sheetFormatPr defaultColWidth="8.7265625" defaultRowHeight="15" customHeight="1" x14ac:dyDescent="0.35"/>
  <cols>
    <col min="1" max="1" width="5.54296875" style="2" customWidth="1"/>
    <col min="2" max="2" width="34.7265625" style="2" customWidth="1"/>
    <col min="3" max="3" width="23.1796875" style="2" customWidth="1"/>
    <col min="4" max="4" width="29.81640625" style="2" customWidth="1"/>
    <col min="5" max="5" width="10.453125" style="2" customWidth="1"/>
    <col min="6" max="6" width="9.7265625" style="2" bestFit="1" customWidth="1"/>
    <col min="7" max="7" width="8.7265625" style="2"/>
    <col min="8" max="8" width="12.81640625" style="2" customWidth="1"/>
    <col min="9" max="9" width="9.81640625" style="2" customWidth="1"/>
    <col min="10" max="10" width="7.54296875" style="2" customWidth="1"/>
    <col min="11" max="11" width="8.7265625" style="2" customWidth="1"/>
    <col min="12" max="12" width="35" style="2" customWidth="1"/>
    <col min="13" max="13" width="26.26953125" style="2" customWidth="1"/>
    <col min="14" max="14" width="27.453125" style="2" customWidth="1"/>
    <col min="15" max="15" width="31.26953125" style="2" bestFit="1" customWidth="1"/>
    <col min="16" max="16384" width="8.7265625" style="2"/>
  </cols>
  <sheetData>
    <row r="1" spans="1:16" ht="14.5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</row>
    <row r="2" spans="1:16" ht="14.5" x14ac:dyDescent="0.35">
      <c r="D2" s="16" t="s">
        <v>15</v>
      </c>
      <c r="E2" s="17"/>
    </row>
    <row r="3" spans="1:16" s="18" customFormat="1" ht="14.5" x14ac:dyDescent="0.35">
      <c r="B3" s="19" t="s">
        <v>16</v>
      </c>
      <c r="C3" s="19"/>
    </row>
    <row r="4" spans="1:16" ht="15" customHeight="1" x14ac:dyDescent="0.35">
      <c r="A4" s="2" t="s">
        <v>17</v>
      </c>
      <c r="B4" s="2" t="s">
        <v>18</v>
      </c>
      <c r="C4" s="20" t="s">
        <v>19</v>
      </c>
      <c r="D4" s="2" t="s">
        <v>20</v>
      </c>
      <c r="E4" s="2" t="s">
        <v>21</v>
      </c>
      <c r="F4" s="2">
        <v>116.4</v>
      </c>
      <c r="G4" s="2">
        <v>1</v>
      </c>
      <c r="J4" s="2">
        <v>116.4</v>
      </c>
      <c r="K4" s="2" t="s">
        <v>22</v>
      </c>
      <c r="L4" s="4" t="s">
        <v>23</v>
      </c>
      <c r="M4" s="4" t="s">
        <v>24</v>
      </c>
      <c r="N4" s="2" t="s">
        <v>25</v>
      </c>
      <c r="P4" s="2" t="s">
        <v>26</v>
      </c>
    </row>
    <row r="5" spans="1:16" ht="15" customHeight="1" x14ac:dyDescent="0.35">
      <c r="A5" s="2" t="s">
        <v>17</v>
      </c>
      <c r="B5" s="2" t="s">
        <v>27</v>
      </c>
      <c r="C5" s="20" t="s">
        <v>19</v>
      </c>
      <c r="D5" s="2" t="s">
        <v>28</v>
      </c>
      <c r="E5" s="2" t="s">
        <v>21</v>
      </c>
      <c r="F5" s="2">
        <v>170.4</v>
      </c>
      <c r="G5" s="2">
        <v>1</v>
      </c>
      <c r="J5" s="2">
        <f>G5*F5</f>
        <v>170.4</v>
      </c>
      <c r="K5" s="2" t="s">
        <v>22</v>
      </c>
      <c r="L5" s="4" t="s">
        <v>23</v>
      </c>
      <c r="M5" s="4" t="s">
        <v>24</v>
      </c>
      <c r="N5" s="2" t="s">
        <v>25</v>
      </c>
      <c r="P5" s="2" t="s">
        <v>26</v>
      </c>
    </row>
    <row r="6" spans="1:16" ht="15" customHeight="1" x14ac:dyDescent="0.35">
      <c r="A6" s="2" t="s">
        <v>17</v>
      </c>
      <c r="B6" s="2" t="s">
        <v>29</v>
      </c>
      <c r="C6" s="20" t="s">
        <v>19</v>
      </c>
      <c r="D6" s="2" t="s">
        <v>28</v>
      </c>
      <c r="E6" s="2" t="s">
        <v>21</v>
      </c>
      <c r="F6" s="2">
        <v>251.9</v>
      </c>
      <c r="G6" s="2">
        <v>1</v>
      </c>
      <c r="J6" s="2">
        <f>G6*F6</f>
        <v>251.9</v>
      </c>
      <c r="K6" s="2" t="s">
        <v>22</v>
      </c>
      <c r="L6" s="1" t="s">
        <v>30</v>
      </c>
      <c r="M6" s="4" t="s">
        <v>24</v>
      </c>
      <c r="N6" s="2" t="s">
        <v>25</v>
      </c>
    </row>
    <row r="7" spans="1:16" ht="14.5" x14ac:dyDescent="0.35">
      <c r="A7" s="21"/>
      <c r="B7" s="22" t="s">
        <v>31</v>
      </c>
      <c r="C7" s="2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6" ht="14.5" x14ac:dyDescent="0.35">
      <c r="A8" s="2" t="s">
        <v>17</v>
      </c>
      <c r="B8" s="2" t="s">
        <v>32</v>
      </c>
      <c r="C8" s="23" t="s">
        <v>33</v>
      </c>
      <c r="D8" s="2" t="s">
        <v>34</v>
      </c>
      <c r="E8" s="2" t="s">
        <v>35</v>
      </c>
      <c r="F8" s="2">
        <v>33.58</v>
      </c>
      <c r="G8" s="2">
        <v>1</v>
      </c>
      <c r="J8" s="2">
        <v>33.58</v>
      </c>
      <c r="K8" s="2" t="s">
        <v>22</v>
      </c>
      <c r="L8" s="4" t="s">
        <v>36</v>
      </c>
      <c r="M8" s="4" t="s">
        <v>24</v>
      </c>
      <c r="N8" s="4" t="s">
        <v>25</v>
      </c>
      <c r="P8" s="2" t="s">
        <v>26</v>
      </c>
    </row>
    <row r="9" spans="1:16" s="24" customFormat="1" ht="14.5" x14ac:dyDescent="0.35">
      <c r="B9" s="25" t="s">
        <v>37</v>
      </c>
      <c r="C9" s="25"/>
    </row>
    <row r="10" spans="1:16" ht="14.5" x14ac:dyDescent="0.35">
      <c r="A10" s="2" t="s">
        <v>17</v>
      </c>
      <c r="B10" s="2" t="s">
        <v>38</v>
      </c>
      <c r="C10" s="3" t="s">
        <v>39</v>
      </c>
      <c r="D10" s="2" t="s">
        <v>40</v>
      </c>
      <c r="E10" s="2" t="s">
        <v>37</v>
      </c>
      <c r="F10" s="2">
        <v>8.99</v>
      </c>
      <c r="G10" s="2">
        <v>1</v>
      </c>
      <c r="J10" s="2">
        <f>G10*F10</f>
        <v>8.99</v>
      </c>
      <c r="K10" s="2" t="s">
        <v>22</v>
      </c>
      <c r="L10" s="4" t="s">
        <v>41</v>
      </c>
      <c r="M10" s="4"/>
      <c r="N10" s="4"/>
    </row>
    <row r="11" spans="1:16" ht="14.5" x14ac:dyDescent="0.35">
      <c r="A11" s="2" t="s">
        <v>17</v>
      </c>
      <c r="B11" s="2" t="s">
        <v>42</v>
      </c>
      <c r="C11" s="3" t="s">
        <v>39</v>
      </c>
      <c r="D11" s="2" t="s">
        <v>43</v>
      </c>
      <c r="E11" s="2" t="s">
        <v>37</v>
      </c>
      <c r="F11" s="2">
        <v>14.65</v>
      </c>
      <c r="G11" s="2">
        <v>1</v>
      </c>
      <c r="J11" s="2">
        <f t="shared" ref="J11:J17" si="0">G11*F11</f>
        <v>14.65</v>
      </c>
      <c r="K11" s="2" t="s">
        <v>22</v>
      </c>
      <c r="L11" s="4" t="s">
        <v>44</v>
      </c>
      <c r="M11" s="4"/>
      <c r="N11" s="4"/>
    </row>
    <row r="12" spans="1:16" ht="14.5" x14ac:dyDescent="0.35">
      <c r="A12" s="2" t="s">
        <v>17</v>
      </c>
      <c r="B12" s="2" t="s">
        <v>45</v>
      </c>
      <c r="C12" s="3" t="s">
        <v>39</v>
      </c>
      <c r="D12" s="2" t="s">
        <v>46</v>
      </c>
      <c r="E12" s="2" t="s">
        <v>37</v>
      </c>
      <c r="F12" s="2">
        <v>16.95</v>
      </c>
      <c r="G12" s="2">
        <v>2</v>
      </c>
      <c r="J12" s="2">
        <f t="shared" si="0"/>
        <v>33.9</v>
      </c>
      <c r="K12" s="2" t="s">
        <v>22</v>
      </c>
      <c r="L12" s="4" t="s">
        <v>47</v>
      </c>
      <c r="M12" s="4"/>
      <c r="N12" s="4"/>
    </row>
    <row r="13" spans="1:16" ht="15" customHeight="1" x14ac:dyDescent="0.35">
      <c r="A13" s="2" t="s">
        <v>17</v>
      </c>
      <c r="B13" s="2" t="s">
        <v>48</v>
      </c>
      <c r="C13" s="6" t="s">
        <v>49</v>
      </c>
      <c r="D13" s="2" t="s">
        <v>50</v>
      </c>
      <c r="E13" s="2" t="s">
        <v>37</v>
      </c>
      <c r="F13" s="2">
        <v>9.9499999999999993</v>
      </c>
      <c r="G13" s="2">
        <v>2</v>
      </c>
      <c r="J13" s="2">
        <f t="shared" si="0"/>
        <v>19.899999999999999</v>
      </c>
      <c r="K13" s="2" t="s">
        <v>22</v>
      </c>
      <c r="L13" s="4" t="s">
        <v>51</v>
      </c>
    </row>
    <row r="14" spans="1:16" ht="15" customHeight="1" x14ac:dyDescent="0.35">
      <c r="A14" s="2" t="s">
        <v>17</v>
      </c>
      <c r="B14" s="2" t="s">
        <v>52</v>
      </c>
      <c r="C14" s="2" t="s">
        <v>19</v>
      </c>
      <c r="D14" s="2" t="s">
        <v>53</v>
      </c>
      <c r="E14" s="2" t="s">
        <v>54</v>
      </c>
      <c r="F14" s="2">
        <v>9.9499999999999993</v>
      </c>
      <c r="G14" s="2">
        <v>3</v>
      </c>
      <c r="J14" s="2">
        <f t="shared" si="0"/>
        <v>29.849999999999998</v>
      </c>
      <c r="K14" s="2" t="s">
        <v>22</v>
      </c>
      <c r="L14" s="4" t="s">
        <v>55</v>
      </c>
    </row>
    <row r="15" spans="1:16" ht="15" customHeight="1" x14ac:dyDescent="0.35">
      <c r="A15" s="2" t="s">
        <v>17</v>
      </c>
      <c r="B15" s="2" t="s">
        <v>56</v>
      </c>
      <c r="C15" s="3" t="s">
        <v>57</v>
      </c>
      <c r="D15" s="2" t="s">
        <v>58</v>
      </c>
      <c r="E15" s="2" t="s">
        <v>54</v>
      </c>
      <c r="F15" s="2">
        <v>25.34</v>
      </c>
      <c r="G15" s="2">
        <v>2</v>
      </c>
      <c r="J15" s="2">
        <f t="shared" si="0"/>
        <v>50.68</v>
      </c>
      <c r="K15" s="2" t="s">
        <v>22</v>
      </c>
      <c r="L15" s="4" t="s">
        <v>59</v>
      </c>
    </row>
    <row r="16" spans="1:16" ht="15" customHeight="1" x14ac:dyDescent="0.35">
      <c r="A16" s="2" t="s">
        <v>17</v>
      </c>
      <c r="B16" s="2" t="s">
        <v>60</v>
      </c>
      <c r="C16" s="3" t="s">
        <v>61</v>
      </c>
      <c r="D16" s="2" t="s">
        <v>62</v>
      </c>
      <c r="E16" s="2" t="s">
        <v>54</v>
      </c>
      <c r="F16" s="2">
        <v>33.6</v>
      </c>
      <c r="G16" s="2">
        <v>5</v>
      </c>
      <c r="J16" s="2">
        <f t="shared" si="0"/>
        <v>168</v>
      </c>
      <c r="K16" s="2" t="s">
        <v>22</v>
      </c>
      <c r="L16" s="4" t="s">
        <v>63</v>
      </c>
    </row>
    <row r="17" spans="1:14" ht="15" customHeight="1" x14ac:dyDescent="0.35">
      <c r="A17" s="2" t="s">
        <v>17</v>
      </c>
      <c r="B17" s="2" t="s">
        <v>64</v>
      </c>
      <c r="C17" s="3" t="s">
        <v>57</v>
      </c>
      <c r="D17" s="2" t="s">
        <v>65</v>
      </c>
      <c r="E17" s="2" t="s">
        <v>54</v>
      </c>
      <c r="F17" s="2">
        <v>720.68</v>
      </c>
      <c r="G17" s="2">
        <v>1</v>
      </c>
      <c r="J17" s="2">
        <f t="shared" si="0"/>
        <v>720.68</v>
      </c>
      <c r="K17" s="2" t="s">
        <v>22</v>
      </c>
      <c r="L17" s="4" t="s">
        <v>66</v>
      </c>
    </row>
    <row r="18" spans="1:14" ht="14.5" x14ac:dyDescent="0.35">
      <c r="A18" s="2" t="s">
        <v>17</v>
      </c>
      <c r="B18" s="2" t="s">
        <v>67</v>
      </c>
      <c r="C18" s="3" t="s">
        <v>68</v>
      </c>
      <c r="D18" s="2" t="s">
        <v>69</v>
      </c>
      <c r="E18" s="2" t="s">
        <v>37</v>
      </c>
      <c r="F18" s="2">
        <v>20.92</v>
      </c>
      <c r="G18" s="2">
        <v>3</v>
      </c>
      <c r="J18" s="2">
        <f>G18*F18</f>
        <v>62.760000000000005</v>
      </c>
      <c r="K18" s="2" t="s">
        <v>22</v>
      </c>
      <c r="L18" s="4" t="s">
        <v>70</v>
      </c>
      <c r="M18" s="4"/>
      <c r="N18" s="4"/>
    </row>
    <row r="19" spans="1:14" ht="14.5" x14ac:dyDescent="0.35">
      <c r="A19" s="2" t="s">
        <v>17</v>
      </c>
      <c r="B19" s="5" t="s">
        <v>71</v>
      </c>
      <c r="C19" s="3" t="s">
        <v>68</v>
      </c>
      <c r="D19" s="2" t="s">
        <v>72</v>
      </c>
      <c r="E19" s="2" t="s">
        <v>37</v>
      </c>
      <c r="F19" s="2">
        <v>1.69</v>
      </c>
      <c r="G19" s="2">
        <v>40</v>
      </c>
      <c r="J19" s="2">
        <f t="shared" ref="J19:J21" si="1">G19*F19</f>
        <v>67.599999999999994</v>
      </c>
      <c r="K19" s="2" t="s">
        <v>22</v>
      </c>
      <c r="L19" s="4" t="s">
        <v>73</v>
      </c>
      <c r="M19" s="4"/>
      <c r="N19" s="4"/>
    </row>
    <row r="20" spans="1:14" ht="14.5" x14ac:dyDescent="0.35">
      <c r="A20" s="2" t="s">
        <v>17</v>
      </c>
      <c r="B20" s="5" t="s">
        <v>74</v>
      </c>
      <c r="C20" s="3" t="s">
        <v>75</v>
      </c>
      <c r="D20" s="2" t="s">
        <v>76</v>
      </c>
      <c r="E20" s="2" t="s">
        <v>37</v>
      </c>
      <c r="F20" s="2">
        <v>2.88</v>
      </c>
      <c r="G20" s="2">
        <v>40</v>
      </c>
      <c r="J20" s="2">
        <f t="shared" si="1"/>
        <v>115.19999999999999</v>
      </c>
      <c r="K20" s="2" t="s">
        <v>22</v>
      </c>
      <c r="L20" s="4" t="s">
        <v>77</v>
      </c>
      <c r="M20" s="4"/>
      <c r="N20" s="4"/>
    </row>
    <row r="21" spans="1:14" ht="15" customHeight="1" x14ac:dyDescent="0.35">
      <c r="A21" s="2" t="s">
        <v>17</v>
      </c>
      <c r="B21" s="5" t="s">
        <v>78</v>
      </c>
      <c r="C21" s="6" t="s">
        <v>79</v>
      </c>
      <c r="D21" s="2" t="s">
        <v>80</v>
      </c>
      <c r="E21" s="2" t="s">
        <v>37</v>
      </c>
      <c r="F21" s="2">
        <v>10.63</v>
      </c>
      <c r="G21" s="2">
        <v>4</v>
      </c>
      <c r="J21" s="2">
        <f t="shared" si="1"/>
        <v>42.52</v>
      </c>
      <c r="K21" s="2" t="s">
        <v>22</v>
      </c>
      <c r="L21" s="4" t="s">
        <v>81</v>
      </c>
    </row>
    <row r="22" spans="1:14" s="10" customFormat="1" ht="15" customHeight="1" x14ac:dyDescent="0.35">
      <c r="A22" s="7" t="s">
        <v>17</v>
      </c>
      <c r="B22" s="7" t="s">
        <v>82</v>
      </c>
      <c r="C22" s="6" t="s">
        <v>79</v>
      </c>
      <c r="D22" s="7" t="s">
        <v>83</v>
      </c>
      <c r="E22" s="7" t="s">
        <v>37</v>
      </c>
      <c r="F22" s="8">
        <v>0.54</v>
      </c>
      <c r="G22" s="7">
        <v>5</v>
      </c>
      <c r="H22" s="7"/>
      <c r="I22" s="7"/>
      <c r="J22" s="8">
        <f t="shared" ref="J22:J51" si="2">F22*G22</f>
        <v>2.7</v>
      </c>
      <c r="K22" s="7" t="s">
        <v>22</v>
      </c>
      <c r="L22" s="9" t="s">
        <v>84</v>
      </c>
    </row>
    <row r="23" spans="1:14" s="10" customFormat="1" ht="15" customHeight="1" x14ac:dyDescent="0.35">
      <c r="A23" s="7" t="s">
        <v>85</v>
      </c>
      <c r="B23" s="7" t="s">
        <v>86</v>
      </c>
      <c r="C23" s="6" t="s">
        <v>79</v>
      </c>
      <c r="D23" s="7" t="s">
        <v>87</v>
      </c>
      <c r="E23" s="7" t="s">
        <v>37</v>
      </c>
      <c r="F23" s="8">
        <v>2.5100000000000001E-2</v>
      </c>
      <c r="G23" s="7">
        <v>100</v>
      </c>
      <c r="H23" s="7"/>
      <c r="I23" s="7"/>
      <c r="J23" s="8">
        <f t="shared" si="2"/>
        <v>2.5100000000000002</v>
      </c>
      <c r="K23" s="7" t="s">
        <v>22</v>
      </c>
      <c r="L23" s="9" t="s">
        <v>88</v>
      </c>
    </row>
    <row r="24" spans="1:14" s="10" customFormat="1" ht="15" customHeight="1" x14ac:dyDescent="0.35">
      <c r="A24" s="7" t="s">
        <v>85</v>
      </c>
      <c r="B24" s="7" t="s">
        <v>89</v>
      </c>
      <c r="C24" s="6" t="s">
        <v>79</v>
      </c>
      <c r="D24" s="7" t="s">
        <v>87</v>
      </c>
      <c r="E24" s="7" t="s">
        <v>37</v>
      </c>
      <c r="F24" s="8">
        <v>0.22600000000000001</v>
      </c>
      <c r="G24" s="7">
        <v>20</v>
      </c>
      <c r="H24" s="7"/>
      <c r="I24" s="7"/>
      <c r="J24" s="8">
        <f t="shared" si="2"/>
        <v>4.5200000000000005</v>
      </c>
      <c r="K24" s="7" t="s">
        <v>22</v>
      </c>
      <c r="L24" s="1" t="s">
        <v>90</v>
      </c>
    </row>
    <row r="25" spans="1:14" s="10" customFormat="1" ht="15" customHeight="1" x14ac:dyDescent="0.35">
      <c r="A25" s="7" t="s">
        <v>17</v>
      </c>
      <c r="B25" s="7" t="s">
        <v>91</v>
      </c>
      <c r="C25" s="6" t="s">
        <v>79</v>
      </c>
      <c r="D25" s="7" t="s">
        <v>92</v>
      </c>
      <c r="E25" s="7" t="s">
        <v>37</v>
      </c>
      <c r="F25" s="8">
        <v>0.19</v>
      </c>
      <c r="G25" s="7">
        <v>5</v>
      </c>
      <c r="H25" s="7"/>
      <c r="I25" s="7"/>
      <c r="J25" s="8">
        <f t="shared" si="2"/>
        <v>0.95</v>
      </c>
      <c r="K25" s="7" t="s">
        <v>22</v>
      </c>
      <c r="L25" s="9" t="s">
        <v>93</v>
      </c>
    </row>
    <row r="26" spans="1:14" s="10" customFormat="1" ht="15" customHeight="1" x14ac:dyDescent="0.35">
      <c r="A26" s="7" t="s">
        <v>17</v>
      </c>
      <c r="B26" s="7" t="s">
        <v>94</v>
      </c>
      <c r="C26" s="6" t="s">
        <v>79</v>
      </c>
      <c r="D26" s="7" t="s">
        <v>95</v>
      </c>
      <c r="E26" s="7" t="s">
        <v>37</v>
      </c>
      <c r="F26" s="8">
        <v>0.51</v>
      </c>
      <c r="G26" s="7">
        <v>5</v>
      </c>
      <c r="H26" s="7"/>
      <c r="I26" s="7"/>
      <c r="J26" s="8">
        <f t="shared" si="2"/>
        <v>2.5499999999999998</v>
      </c>
      <c r="K26" s="7" t="s">
        <v>22</v>
      </c>
      <c r="L26" s="9" t="s">
        <v>96</v>
      </c>
    </row>
    <row r="27" spans="1:14" s="10" customFormat="1" ht="15" customHeight="1" x14ac:dyDescent="0.35">
      <c r="A27" s="7" t="s">
        <v>17</v>
      </c>
      <c r="B27" s="7" t="s">
        <v>97</v>
      </c>
      <c r="C27" s="6" t="s">
        <v>79</v>
      </c>
      <c r="D27" s="7" t="s">
        <v>95</v>
      </c>
      <c r="E27" s="7" t="s">
        <v>37</v>
      </c>
      <c r="F27" s="8">
        <v>0.53</v>
      </c>
      <c r="G27" s="7">
        <v>5</v>
      </c>
      <c r="H27" s="7"/>
      <c r="I27" s="7"/>
      <c r="J27" s="8">
        <f t="shared" si="2"/>
        <v>2.6500000000000004</v>
      </c>
      <c r="K27" s="7" t="s">
        <v>22</v>
      </c>
      <c r="L27" s="9" t="s">
        <v>98</v>
      </c>
    </row>
    <row r="28" spans="1:14" s="10" customFormat="1" ht="15" customHeight="1" x14ac:dyDescent="0.35">
      <c r="A28" s="7" t="s">
        <v>85</v>
      </c>
      <c r="B28" s="7" t="s">
        <v>99</v>
      </c>
      <c r="C28" s="6" t="s">
        <v>79</v>
      </c>
      <c r="D28" s="7" t="s">
        <v>100</v>
      </c>
      <c r="E28" s="7" t="s">
        <v>37</v>
      </c>
      <c r="F28" s="8">
        <v>1.72E-2</v>
      </c>
      <c r="G28" s="7">
        <v>30</v>
      </c>
      <c r="H28" s="7"/>
      <c r="I28" s="7"/>
      <c r="J28" s="8">
        <f t="shared" si="2"/>
        <v>0.51600000000000001</v>
      </c>
      <c r="K28" s="7" t="s">
        <v>22</v>
      </c>
      <c r="L28" s="9" t="s">
        <v>101</v>
      </c>
    </row>
    <row r="29" spans="1:14" s="10" customFormat="1" ht="15" customHeight="1" x14ac:dyDescent="0.35">
      <c r="A29" s="7" t="s">
        <v>85</v>
      </c>
      <c r="B29" s="7" t="s">
        <v>102</v>
      </c>
      <c r="C29" s="6" t="s">
        <v>79</v>
      </c>
      <c r="D29" s="7" t="s">
        <v>87</v>
      </c>
      <c r="E29" s="7" t="s">
        <v>37</v>
      </c>
      <c r="F29" s="8">
        <v>0.14399999999999999</v>
      </c>
      <c r="G29" s="7">
        <v>20</v>
      </c>
      <c r="H29" s="7"/>
      <c r="I29" s="7"/>
      <c r="J29" s="8">
        <f t="shared" si="2"/>
        <v>2.88</v>
      </c>
      <c r="K29" s="7" t="s">
        <v>22</v>
      </c>
      <c r="L29" s="1" t="s">
        <v>103</v>
      </c>
    </row>
    <row r="30" spans="1:14" s="10" customFormat="1" ht="15" customHeight="1" x14ac:dyDescent="0.35">
      <c r="A30" s="7" t="s">
        <v>85</v>
      </c>
      <c r="B30" s="7" t="s">
        <v>104</v>
      </c>
      <c r="C30" s="6" t="s">
        <v>79</v>
      </c>
      <c r="D30" s="7" t="s">
        <v>100</v>
      </c>
      <c r="E30" s="7" t="s">
        <v>37</v>
      </c>
      <c r="F30" s="8">
        <v>2.4E-2</v>
      </c>
      <c r="G30" s="7">
        <v>20</v>
      </c>
      <c r="H30" s="7"/>
      <c r="I30" s="7"/>
      <c r="J30" s="8">
        <f t="shared" si="2"/>
        <v>0.48</v>
      </c>
      <c r="K30" s="7" t="s">
        <v>22</v>
      </c>
      <c r="L30" s="4" t="s">
        <v>105</v>
      </c>
    </row>
    <row r="31" spans="1:14" s="10" customFormat="1" ht="15" customHeight="1" x14ac:dyDescent="0.35">
      <c r="A31" s="7" t="s">
        <v>85</v>
      </c>
      <c r="B31" s="7" t="s">
        <v>106</v>
      </c>
      <c r="C31" s="6" t="s">
        <v>79</v>
      </c>
      <c r="D31" s="7" t="s">
        <v>100</v>
      </c>
      <c r="E31" s="7" t="s">
        <v>37</v>
      </c>
      <c r="F31" s="8">
        <v>0.1</v>
      </c>
      <c r="G31" s="7">
        <v>5</v>
      </c>
      <c r="H31" s="7"/>
      <c r="I31" s="7"/>
      <c r="J31" s="8">
        <f t="shared" si="2"/>
        <v>0.5</v>
      </c>
      <c r="K31" s="7" t="s">
        <v>22</v>
      </c>
      <c r="L31" s="4" t="s">
        <v>107</v>
      </c>
    </row>
    <row r="32" spans="1:14" s="10" customFormat="1" ht="15" customHeight="1" x14ac:dyDescent="0.35">
      <c r="A32" s="7" t="s">
        <v>85</v>
      </c>
      <c r="B32" s="7" t="s">
        <v>108</v>
      </c>
      <c r="C32" s="6" t="s">
        <v>79</v>
      </c>
      <c r="D32" s="7" t="s">
        <v>87</v>
      </c>
      <c r="E32" s="7" t="s">
        <v>37</v>
      </c>
      <c r="F32" s="8">
        <v>7.3999999999999996E-2</v>
      </c>
      <c r="G32" s="7">
        <v>10</v>
      </c>
      <c r="H32" s="7"/>
      <c r="I32" s="7"/>
      <c r="J32" s="8">
        <f t="shared" si="2"/>
        <v>0.74</v>
      </c>
      <c r="K32" s="7" t="s">
        <v>22</v>
      </c>
      <c r="L32" s="4" t="s">
        <v>109</v>
      </c>
    </row>
    <row r="33" spans="1:12" s="10" customFormat="1" ht="15" customHeight="1" x14ac:dyDescent="0.35">
      <c r="A33" s="7" t="s">
        <v>85</v>
      </c>
      <c r="B33" s="7" t="s">
        <v>110</v>
      </c>
      <c r="C33" s="6" t="s">
        <v>79</v>
      </c>
      <c r="D33" s="7" t="s">
        <v>100</v>
      </c>
      <c r="E33" s="7" t="s">
        <v>37</v>
      </c>
      <c r="F33" s="8">
        <v>2.4E-2</v>
      </c>
      <c r="G33" s="7">
        <v>10</v>
      </c>
      <c r="H33" s="7"/>
      <c r="I33" s="7"/>
      <c r="J33" s="8">
        <f t="shared" si="2"/>
        <v>0.24</v>
      </c>
      <c r="K33" s="7" t="s">
        <v>22</v>
      </c>
      <c r="L33" s="4" t="s">
        <v>111</v>
      </c>
    </row>
    <row r="34" spans="1:12" s="10" customFormat="1" ht="15" customHeight="1" x14ac:dyDescent="0.35">
      <c r="A34" s="7" t="s">
        <v>85</v>
      </c>
      <c r="B34" s="7" t="s">
        <v>112</v>
      </c>
      <c r="C34" s="6" t="s">
        <v>79</v>
      </c>
      <c r="D34" s="7" t="s">
        <v>87</v>
      </c>
      <c r="E34" s="7" t="s">
        <v>37</v>
      </c>
      <c r="F34" s="8">
        <v>9.6799999999999997E-2</v>
      </c>
      <c r="G34" s="7">
        <v>50</v>
      </c>
      <c r="H34" s="7"/>
      <c r="I34" s="7"/>
      <c r="J34" s="8">
        <f t="shared" si="2"/>
        <v>4.84</v>
      </c>
      <c r="K34" s="7" t="s">
        <v>22</v>
      </c>
      <c r="L34" s="4" t="s">
        <v>113</v>
      </c>
    </row>
    <row r="35" spans="1:12" s="10" customFormat="1" ht="15" customHeight="1" x14ac:dyDescent="0.35">
      <c r="A35" s="7" t="s">
        <v>85</v>
      </c>
      <c r="B35" s="7" t="s">
        <v>114</v>
      </c>
      <c r="C35" s="6" t="s">
        <v>79</v>
      </c>
      <c r="D35" s="7" t="s">
        <v>87</v>
      </c>
      <c r="E35" s="7" t="s">
        <v>37</v>
      </c>
      <c r="F35" s="8">
        <v>0.18</v>
      </c>
      <c r="G35" s="7">
        <v>5</v>
      </c>
      <c r="H35" s="7"/>
      <c r="I35" s="7"/>
      <c r="J35" s="8">
        <f t="shared" si="2"/>
        <v>0.89999999999999991</v>
      </c>
      <c r="K35" s="7" t="s">
        <v>22</v>
      </c>
      <c r="L35" s="4" t="s">
        <v>115</v>
      </c>
    </row>
    <row r="36" spans="1:12" s="10" customFormat="1" ht="15" customHeight="1" x14ac:dyDescent="0.35">
      <c r="A36" s="7" t="s">
        <v>85</v>
      </c>
      <c r="B36" s="7" t="s">
        <v>116</v>
      </c>
      <c r="C36" s="6" t="s">
        <v>79</v>
      </c>
      <c r="D36" s="7" t="s">
        <v>92</v>
      </c>
      <c r="E36" s="7" t="s">
        <v>37</v>
      </c>
      <c r="F36" s="8">
        <v>3.95</v>
      </c>
      <c r="G36" s="7">
        <v>1</v>
      </c>
      <c r="H36" s="7" t="s">
        <v>117</v>
      </c>
      <c r="I36" s="7"/>
      <c r="J36" s="8">
        <f t="shared" si="2"/>
        <v>3.95</v>
      </c>
      <c r="K36" s="7" t="s">
        <v>22</v>
      </c>
      <c r="L36" s="4" t="s">
        <v>118</v>
      </c>
    </row>
    <row r="37" spans="1:12" s="10" customFormat="1" ht="15" customHeight="1" x14ac:dyDescent="0.35">
      <c r="A37" s="7" t="s">
        <v>85</v>
      </c>
      <c r="B37" s="7" t="s">
        <v>119</v>
      </c>
      <c r="C37" s="6" t="s">
        <v>79</v>
      </c>
      <c r="D37" s="7" t="s">
        <v>100</v>
      </c>
      <c r="E37" s="7" t="s">
        <v>37</v>
      </c>
      <c r="F37" s="8">
        <v>0.1</v>
      </c>
      <c r="G37" s="7">
        <v>5</v>
      </c>
      <c r="H37" s="7"/>
      <c r="I37" s="7"/>
      <c r="J37" s="8">
        <f t="shared" si="2"/>
        <v>0.5</v>
      </c>
      <c r="K37" s="7" t="s">
        <v>22</v>
      </c>
      <c r="L37" s="11" t="s">
        <v>120</v>
      </c>
    </row>
    <row r="38" spans="1:12" s="10" customFormat="1" ht="15" customHeight="1" x14ac:dyDescent="0.35">
      <c r="A38" s="7" t="s">
        <v>85</v>
      </c>
      <c r="B38" s="7" t="s">
        <v>121</v>
      </c>
      <c r="C38" s="6" t="s">
        <v>79</v>
      </c>
      <c r="D38" s="7" t="s">
        <v>87</v>
      </c>
      <c r="E38" s="7" t="s">
        <v>37</v>
      </c>
      <c r="F38" s="8">
        <v>8.5999999999999993E-2</v>
      </c>
      <c r="G38" s="7">
        <v>35</v>
      </c>
      <c r="H38" s="7"/>
      <c r="I38" s="7"/>
      <c r="J38" s="8">
        <f t="shared" si="2"/>
        <v>3.01</v>
      </c>
      <c r="K38" s="7" t="s">
        <v>22</v>
      </c>
      <c r="L38" s="4" t="s">
        <v>122</v>
      </c>
    </row>
    <row r="39" spans="1:12" s="10" customFormat="1" ht="15" customHeight="1" x14ac:dyDescent="0.35">
      <c r="A39" s="7" t="s">
        <v>85</v>
      </c>
      <c r="B39" s="7" t="s">
        <v>123</v>
      </c>
      <c r="C39" s="6" t="s">
        <v>79</v>
      </c>
      <c r="D39" s="7" t="s">
        <v>83</v>
      </c>
      <c r="E39" s="7" t="s">
        <v>37</v>
      </c>
      <c r="F39" s="8">
        <v>12.32</v>
      </c>
      <c r="G39" s="7">
        <v>5</v>
      </c>
      <c r="H39" s="7"/>
      <c r="I39" s="7"/>
      <c r="J39" s="8">
        <f t="shared" si="2"/>
        <v>61.6</v>
      </c>
      <c r="K39" s="7" t="s">
        <v>22</v>
      </c>
      <c r="L39" s="9" t="s">
        <v>124</v>
      </c>
    </row>
    <row r="40" spans="1:12" s="10" customFormat="1" ht="15" customHeight="1" x14ac:dyDescent="0.35">
      <c r="A40" s="7" t="s">
        <v>85</v>
      </c>
      <c r="B40" s="7" t="s">
        <v>125</v>
      </c>
      <c r="C40" s="6" t="s">
        <v>79</v>
      </c>
      <c r="D40" s="7" t="s">
        <v>92</v>
      </c>
      <c r="E40" s="7" t="s">
        <v>37</v>
      </c>
      <c r="F40" s="8">
        <v>0.19</v>
      </c>
      <c r="G40" s="7">
        <v>5</v>
      </c>
      <c r="H40" s="7"/>
      <c r="I40" s="7"/>
      <c r="J40" s="8">
        <f t="shared" si="2"/>
        <v>0.95</v>
      </c>
      <c r="K40" s="7" t="s">
        <v>22</v>
      </c>
      <c r="L40" s="1" t="s">
        <v>126</v>
      </c>
    </row>
    <row r="41" spans="1:12" s="10" customFormat="1" ht="15" customHeight="1" x14ac:dyDescent="0.35">
      <c r="A41" s="7" t="s">
        <v>85</v>
      </c>
      <c r="B41" s="7" t="s">
        <v>127</v>
      </c>
      <c r="C41" s="6" t="s">
        <v>79</v>
      </c>
      <c r="D41" s="7" t="s">
        <v>100</v>
      </c>
      <c r="E41" s="7" t="s">
        <v>37</v>
      </c>
      <c r="F41" s="8">
        <v>0.1</v>
      </c>
      <c r="G41" s="7">
        <v>5</v>
      </c>
      <c r="H41" s="7"/>
      <c r="I41" s="7"/>
      <c r="J41" s="8">
        <f t="shared" si="2"/>
        <v>0.5</v>
      </c>
      <c r="K41" s="7" t="s">
        <v>22</v>
      </c>
      <c r="L41" s="4" t="s">
        <v>128</v>
      </c>
    </row>
    <row r="42" spans="1:12" s="10" customFormat="1" ht="15" customHeight="1" x14ac:dyDescent="0.35">
      <c r="A42" s="7" t="s">
        <v>85</v>
      </c>
      <c r="B42" s="7" t="s">
        <v>129</v>
      </c>
      <c r="C42" s="6" t="s">
        <v>79</v>
      </c>
      <c r="D42" s="7" t="s">
        <v>100</v>
      </c>
      <c r="E42" s="7" t="s">
        <v>37</v>
      </c>
      <c r="F42" s="8">
        <v>0.1</v>
      </c>
      <c r="G42" s="7">
        <v>5</v>
      </c>
      <c r="H42" s="7"/>
      <c r="I42" s="7"/>
      <c r="J42" s="8">
        <f t="shared" si="2"/>
        <v>0.5</v>
      </c>
      <c r="K42" s="7" t="s">
        <v>22</v>
      </c>
      <c r="L42" s="4" t="s">
        <v>130</v>
      </c>
    </row>
    <row r="43" spans="1:12" s="10" customFormat="1" ht="15" customHeight="1" x14ac:dyDescent="0.35">
      <c r="A43" s="7" t="s">
        <v>85</v>
      </c>
      <c r="B43" s="7" t="s">
        <v>131</v>
      </c>
      <c r="C43" s="6" t="s">
        <v>79</v>
      </c>
      <c r="D43" s="7" t="s">
        <v>87</v>
      </c>
      <c r="E43" s="7" t="s">
        <v>37</v>
      </c>
      <c r="F43" s="8">
        <v>0.13100000000000001</v>
      </c>
      <c r="G43" s="7">
        <v>15</v>
      </c>
      <c r="H43" s="7"/>
      <c r="I43" s="7"/>
      <c r="J43" s="8">
        <f t="shared" si="2"/>
        <v>1.9650000000000001</v>
      </c>
      <c r="K43" s="7" t="s">
        <v>22</v>
      </c>
      <c r="L43" s="4" t="s">
        <v>132</v>
      </c>
    </row>
    <row r="44" spans="1:12" s="10" customFormat="1" ht="15" customHeight="1" x14ac:dyDescent="0.35">
      <c r="A44" s="7" t="s">
        <v>85</v>
      </c>
      <c r="B44" s="7" t="s">
        <v>133</v>
      </c>
      <c r="C44" s="6" t="s">
        <v>79</v>
      </c>
      <c r="D44" s="7" t="s">
        <v>100</v>
      </c>
      <c r="E44" s="7" t="s">
        <v>37</v>
      </c>
      <c r="F44" s="8">
        <v>0.1</v>
      </c>
      <c r="G44" s="7">
        <v>5</v>
      </c>
      <c r="H44" s="7"/>
      <c r="I44" s="7"/>
      <c r="J44" s="8">
        <f t="shared" si="2"/>
        <v>0.5</v>
      </c>
      <c r="K44" s="7" t="s">
        <v>22</v>
      </c>
      <c r="L44" s="4" t="s">
        <v>134</v>
      </c>
    </row>
    <row r="45" spans="1:12" s="10" customFormat="1" ht="15" customHeight="1" x14ac:dyDescent="0.35">
      <c r="A45" s="7" t="s">
        <v>85</v>
      </c>
      <c r="B45" s="7" t="s">
        <v>135</v>
      </c>
      <c r="C45" s="6" t="s">
        <v>79</v>
      </c>
      <c r="D45" s="7" t="s">
        <v>83</v>
      </c>
      <c r="E45" s="7" t="s">
        <v>37</v>
      </c>
      <c r="F45" s="8">
        <v>0.91</v>
      </c>
      <c r="G45" s="7">
        <v>10</v>
      </c>
      <c r="H45" s="7"/>
      <c r="I45" s="7"/>
      <c r="J45" s="8">
        <f t="shared" si="2"/>
        <v>9.1</v>
      </c>
      <c r="K45" s="7" t="s">
        <v>22</v>
      </c>
      <c r="L45" s="9" t="s">
        <v>136</v>
      </c>
    </row>
    <row r="46" spans="1:12" s="10" customFormat="1" ht="15" customHeight="1" x14ac:dyDescent="0.35">
      <c r="A46" s="7" t="s">
        <v>85</v>
      </c>
      <c r="B46" s="7" t="s">
        <v>137</v>
      </c>
      <c r="C46" s="7" t="s">
        <v>138</v>
      </c>
      <c r="D46" s="7" t="s">
        <v>83</v>
      </c>
      <c r="E46" s="7" t="s">
        <v>37</v>
      </c>
      <c r="F46" s="8">
        <v>4.0229999999999997</v>
      </c>
      <c r="G46" s="7">
        <v>15</v>
      </c>
      <c r="H46" s="7"/>
      <c r="I46" s="7"/>
      <c r="J46" s="8">
        <f t="shared" si="2"/>
        <v>60.344999999999999</v>
      </c>
      <c r="K46" s="7" t="s">
        <v>22</v>
      </c>
      <c r="L46" s="9" t="s">
        <v>139</v>
      </c>
    </row>
    <row r="47" spans="1:12" s="10" customFormat="1" ht="14.5" x14ac:dyDescent="0.35">
      <c r="A47" s="7" t="s">
        <v>85</v>
      </c>
      <c r="B47" s="7" t="s">
        <v>140</v>
      </c>
      <c r="C47" s="7" t="s">
        <v>138</v>
      </c>
      <c r="D47" s="7" t="s">
        <v>95</v>
      </c>
      <c r="E47" s="7" t="s">
        <v>37</v>
      </c>
      <c r="F47" s="8">
        <v>1.0471999999999999</v>
      </c>
      <c r="G47" s="7">
        <v>30</v>
      </c>
      <c r="H47" s="7"/>
      <c r="I47" s="7"/>
      <c r="J47" s="8">
        <f t="shared" si="2"/>
        <v>31.415999999999997</v>
      </c>
      <c r="K47" s="7" t="s">
        <v>22</v>
      </c>
      <c r="L47" s="9" t="s">
        <v>141</v>
      </c>
    </row>
    <row r="48" spans="1:12" s="10" customFormat="1" ht="15" customHeight="1" x14ac:dyDescent="0.35">
      <c r="A48" s="7" t="s">
        <v>85</v>
      </c>
      <c r="B48" s="7" t="s">
        <v>142</v>
      </c>
      <c r="C48" s="7" t="s">
        <v>138</v>
      </c>
      <c r="D48" s="7" t="s">
        <v>95</v>
      </c>
      <c r="E48" s="7" t="s">
        <v>37</v>
      </c>
      <c r="F48" s="8">
        <v>0.56899999999999995</v>
      </c>
      <c r="G48" s="7">
        <v>35</v>
      </c>
      <c r="H48" s="7"/>
      <c r="I48" s="7"/>
      <c r="J48" s="8">
        <f t="shared" si="2"/>
        <v>19.914999999999999</v>
      </c>
      <c r="K48" s="7" t="s">
        <v>22</v>
      </c>
      <c r="L48" s="9" t="s">
        <v>143</v>
      </c>
    </row>
    <row r="49" spans="1:16" s="10" customFormat="1" ht="14.5" x14ac:dyDescent="0.35">
      <c r="A49" s="7" t="s">
        <v>85</v>
      </c>
      <c r="B49" s="7" t="s">
        <v>144</v>
      </c>
      <c r="C49" s="7" t="s">
        <v>138</v>
      </c>
      <c r="D49" s="7" t="s">
        <v>95</v>
      </c>
      <c r="E49" s="7" t="s">
        <v>37</v>
      </c>
      <c r="F49" s="8">
        <v>0.42</v>
      </c>
      <c r="G49" s="7">
        <v>5</v>
      </c>
      <c r="H49" s="7"/>
      <c r="I49" s="7"/>
      <c r="J49" s="8">
        <f t="shared" si="2"/>
        <v>2.1</v>
      </c>
      <c r="K49" s="7" t="s">
        <v>22</v>
      </c>
      <c r="L49" s="9" t="s">
        <v>145</v>
      </c>
    </row>
    <row r="50" spans="1:16" s="10" customFormat="1" ht="14.5" x14ac:dyDescent="0.35">
      <c r="A50" s="7" t="s">
        <v>85</v>
      </c>
      <c r="B50" s="7" t="s">
        <v>146</v>
      </c>
      <c r="C50" s="7" t="s">
        <v>138</v>
      </c>
      <c r="D50" s="7" t="s">
        <v>95</v>
      </c>
      <c r="E50" s="7" t="s">
        <v>37</v>
      </c>
      <c r="F50" s="8">
        <v>2.2170000000000001</v>
      </c>
      <c r="G50" s="7">
        <v>10</v>
      </c>
      <c r="H50" s="7"/>
      <c r="I50" s="7"/>
      <c r="J50" s="8">
        <f t="shared" si="2"/>
        <v>22.17</v>
      </c>
      <c r="K50" s="7" t="s">
        <v>22</v>
      </c>
      <c r="L50" s="9" t="s">
        <v>147</v>
      </c>
    </row>
    <row r="51" spans="1:16" s="10" customFormat="1" ht="14.5" x14ac:dyDescent="0.35">
      <c r="A51" s="7" t="s">
        <v>85</v>
      </c>
      <c r="B51" s="7" t="s">
        <v>148</v>
      </c>
      <c r="C51" s="7" t="s">
        <v>138</v>
      </c>
      <c r="D51" s="7" t="s">
        <v>83</v>
      </c>
      <c r="E51" s="7" t="s">
        <v>37</v>
      </c>
      <c r="F51" s="8">
        <v>1.62</v>
      </c>
      <c r="G51" s="7">
        <v>5</v>
      </c>
      <c r="H51" s="7"/>
      <c r="I51" s="7"/>
      <c r="J51" s="8">
        <f t="shared" si="2"/>
        <v>8.1000000000000014</v>
      </c>
      <c r="K51" s="7" t="s">
        <v>22</v>
      </c>
      <c r="L51" s="9" t="s">
        <v>149</v>
      </c>
    </row>
    <row r="52" spans="1:16" ht="15" customHeight="1" x14ac:dyDescent="0.35">
      <c r="A52" s="12"/>
      <c r="B52" s="13" t="s">
        <v>150</v>
      </c>
      <c r="C52" s="13"/>
      <c r="D52" s="12"/>
      <c r="E52" s="12"/>
      <c r="F52" s="12"/>
      <c r="G52" s="12"/>
      <c r="H52" s="12"/>
      <c r="I52" s="12"/>
      <c r="J52" s="12"/>
      <c r="K52" s="12"/>
      <c r="L52" s="12"/>
    </row>
    <row r="53" spans="1:16" ht="14.5" x14ac:dyDescent="0.35">
      <c r="A53" s="2" t="s">
        <v>17</v>
      </c>
      <c r="B53" s="2" t="s">
        <v>151</v>
      </c>
      <c r="C53" s="3" t="s">
        <v>152</v>
      </c>
      <c r="D53" s="2" t="s">
        <v>153</v>
      </c>
      <c r="E53" s="2" t="s">
        <v>150</v>
      </c>
      <c r="F53" s="2">
        <v>32.659999999999997</v>
      </c>
      <c r="G53" s="2">
        <v>1</v>
      </c>
      <c r="J53" s="2">
        <f t="shared" ref="J53" si="3">G53*F53</f>
        <v>32.659999999999997</v>
      </c>
      <c r="K53" s="2" t="s">
        <v>22</v>
      </c>
      <c r="L53" s="4" t="s">
        <v>154</v>
      </c>
      <c r="P53" s="2" t="s">
        <v>26</v>
      </c>
    </row>
    <row r="59" spans="1:16" ht="15" customHeight="1" x14ac:dyDescent="0.35">
      <c r="E59" s="26" t="s">
        <v>155</v>
      </c>
      <c r="H59" s="26" t="s">
        <v>8</v>
      </c>
    </row>
    <row r="60" spans="1:16" ht="15" customHeight="1" x14ac:dyDescent="0.35">
      <c r="E60" s="2" t="s">
        <v>150</v>
      </c>
      <c r="F60" s="2">
        <f>SUM(J53) + J60</f>
        <v>32.659999999999997</v>
      </c>
      <c r="H60" s="2" t="s">
        <v>156</v>
      </c>
      <c r="J60" s="2">
        <v>0</v>
      </c>
    </row>
    <row r="61" spans="1:16" ht="15" customHeight="1" x14ac:dyDescent="0.35">
      <c r="E61" s="2" t="s">
        <v>54</v>
      </c>
      <c r="F61" s="27">
        <f xml:space="preserve"> SUM(J10:J51)</f>
        <v>1588.327</v>
      </c>
      <c r="H61" s="2" t="s">
        <v>157</v>
      </c>
      <c r="J61" s="2">
        <v>0</v>
      </c>
      <c r="K61" s="2" t="s">
        <v>158</v>
      </c>
    </row>
    <row r="62" spans="1:16" ht="15" customHeight="1" x14ac:dyDescent="0.35">
      <c r="E62" s="2" t="s">
        <v>159</v>
      </c>
      <c r="F62" s="2">
        <f>SUM(J4:J6)</f>
        <v>538.70000000000005</v>
      </c>
      <c r="H62" s="2" t="s">
        <v>160</v>
      </c>
    </row>
    <row r="63" spans="1:16" ht="15" customHeight="1" x14ac:dyDescent="0.35">
      <c r="H63" s="2" t="s">
        <v>161</v>
      </c>
      <c r="J63" s="2">
        <v>0</v>
      </c>
    </row>
    <row r="64" spans="1:16" ht="15" customHeight="1" x14ac:dyDescent="0.35">
      <c r="H64" s="2" t="s">
        <v>162</v>
      </c>
      <c r="J64" s="2">
        <v>0</v>
      </c>
    </row>
    <row r="65" spans="5:10" ht="15" customHeight="1" x14ac:dyDescent="0.35">
      <c r="E65" s="2" t="s">
        <v>163</v>
      </c>
      <c r="F65" s="27">
        <f>SUM(J8) + J65</f>
        <v>48.93</v>
      </c>
      <c r="H65" s="2" t="s">
        <v>164</v>
      </c>
      <c r="J65" s="2">
        <v>15.35</v>
      </c>
    </row>
    <row r="66" spans="5:10" ht="15" customHeight="1" x14ac:dyDescent="0.35">
      <c r="H66" s="2" t="s">
        <v>165</v>
      </c>
    </row>
    <row r="67" spans="5:10" ht="15" customHeight="1" x14ac:dyDescent="0.35">
      <c r="E67" s="2" t="s">
        <v>166</v>
      </c>
      <c r="F67" s="2" t="e">
        <f>SUM(#REF!,J67)</f>
        <v>#REF!</v>
      </c>
      <c r="H67" s="2" t="s">
        <v>167</v>
      </c>
      <c r="J67" s="2">
        <f>3.05+2.6</f>
        <v>5.65</v>
      </c>
    </row>
    <row r="69" spans="5:10" ht="15" customHeight="1" x14ac:dyDescent="0.35">
      <c r="E69" s="26" t="s">
        <v>168</v>
      </c>
      <c r="F69" s="2">
        <f>SUM(F60:F65)</f>
        <v>2208.6169999999997</v>
      </c>
    </row>
  </sheetData>
  <hyperlinks>
    <hyperlink ref="L8" r:id="rId1" xr:uid="{3F606CBE-4ED5-44C5-9F65-E90A855AFB6A}"/>
    <hyperlink ref="M8" r:id="rId2" xr:uid="{EBB34F4E-3FC9-4311-A446-AE2E38224357}"/>
    <hyperlink ref="N8" r:id="rId3" display="Electrical-Insulating Garolite XX Tube, Electrical-Insulating, 1-3/4&quot; OD, 1-1/2&quot; ID, 40&quot; Long | McMaster-Carr" xr:uid="{367AC187-8FD2-4867-BA85-6137F48448D3}"/>
    <hyperlink ref="L11" r:id="rId4" xr:uid="{EFF4AC61-E3C3-48DE-B7A2-99C5311B4569}"/>
    <hyperlink ref="L12" r:id="rId5" xr:uid="{674E3444-CCC9-4D5D-92BE-45307DFC6646}"/>
    <hyperlink ref="L13" r:id="rId6" xr:uid="{B2A9620C-2463-4FC2-BD8C-AA8DB3857C78}"/>
    <hyperlink ref="L14" r:id="rId7" xr:uid="{DF36BCCB-0B4F-41BA-9734-5CF4F8C92B4C}"/>
    <hyperlink ref="L15" r:id="rId8" xr:uid="{D165CB98-24A9-49A2-B73D-D204E32B5B80}"/>
    <hyperlink ref="L16" r:id="rId9" display="https://www.digikey.com/en/products/detail/sparkfun-electronics/20360/16688096" xr:uid="{228B82B0-6805-4307-80C7-027CA69465EF}"/>
    <hyperlink ref="L17" r:id="rId10" display="https://www.digikey.com/en/products/detail/sparkfun-electronics/23088/21709238?gclsrc=aw.ds&amp;gad_source=1&amp;gad_campaignid=20243136172&amp;gclid=CjwKCAjwzevPBhBaEiwAplAxvq5sFhxy2sIqJR0OH64K_egiAHGDhMq9VjoJruVG7IptmsYp5oE0EBoCLC0QAvD_BwE" xr:uid="{1FC1614A-543D-44BB-8D7D-A1D5584A777D}"/>
    <hyperlink ref="L53" r:id="rId11" display="https://www.amazon.com/Fireproof-Explosionproof-ExpertPower-Lithium-Charging/dp/B07R4BY6Z3/ref=sxts_b2b_ccp_search_w_op?content-id=amzn1.sym.210cd1ea-e44d-496c-802a-e2b84397e3ce%3Aamzn1.sym.210cd1ea-e44d-496c-802a-e2b84397e3ce&amp;crid=14E60AMKBJYW9&amp;cv_ct_cx=fire+safe+battery+storage&amp;keywords=fire+safe+battery+storage&amp;pd_rd_i=B07R4BY6Z3&amp;pd_rd_r=dbdab64f-824c-4239-9009-aedde429baa3&amp;pd_rd_w=Doegc&amp;pd_rd_wg=ZDVR5&amp;pf_rd_p=210cd1ea-e44d-496c-802a-e2b84397e3ce&amp;pf_rd_r=CM1JDASAXERB0JN03ECN&amp;qid=1778086331&amp;sbo=RZvfv%2F%2FHxDF%2BO5021pAnSA%3D%3D&amp;sprefix=fire+safe+battery+storag%2Caps%2C213&amp;sr=1-5-d27bdacb-ad14-3372-97fb-5f5070035007" xr:uid="{B9F5C15B-CD12-41BC-AA51-551E265BFCFC}"/>
    <hyperlink ref="L18" r:id="rId12" display="https://www.digikey.com/en/products/detail/stmicroelectronics/stm32h757bit6/10326811" xr:uid="{EE5BC0EC-D63F-4E3C-B817-DEF719DC55B2}"/>
    <hyperlink ref="L19" r:id="rId13" display="https://www.digikey.com/en/products/detail/samtec-inc/TW-04-03-L-D-243-SM/19064975?s=N4IgTCBcDaICoHUC0AGALKgzEgMkgIkmGtgMoCyIAugL5A" xr:uid="{067D9829-D435-4E45-A40B-FEF899F2C531}"/>
    <hyperlink ref="L20" r:id="rId14" display="https://www.digikey.com/en/products/detail/samtec-inc/TLE-104-01-G-DV-A/6692813" xr:uid="{2F91DE20-ECB9-4ACE-BECF-2534CC09B560}"/>
    <hyperlink ref="L21" r:id="rId15" display="https://www.digikey.com/en/products/detail/te-connectivity-measurement-specialties/MS561101BA03-50/5277445" xr:uid="{3D1A7DCF-11E6-493D-A486-E7E820C57142}"/>
    <hyperlink ref="L4" r:id="rId16" xr:uid="{56458975-2C24-40AE-97A7-9B2449E6DB14}"/>
    <hyperlink ref="M4" r:id="rId17" xr:uid="{5BF76B1B-84A7-4A4F-9489-9AB4B4C3706F}"/>
    <hyperlink ref="M6" r:id="rId18" xr:uid="{460BD2C4-83E8-4F45-840F-4107F4C77BC8}"/>
    <hyperlink ref="L22" r:id="rId19" xr:uid="{F5E3D9E8-712F-42BE-A9B7-F5FC18F88577}"/>
    <hyperlink ref="L23" r:id="rId20" xr:uid="{06B26BDA-CAEA-4C04-9797-EE3E04C789A5}"/>
    <hyperlink ref="L25" r:id="rId21" xr:uid="{3557DB31-A15D-4A26-9688-7F9699617E8C}"/>
    <hyperlink ref="L26" r:id="rId22" xr:uid="{ACAB1771-540F-40B9-9A5A-F25BCFCE2EF0}"/>
    <hyperlink ref="L27" r:id="rId23" xr:uid="{FCB5F16B-36D8-46E8-AE4B-4AC093E2D601}"/>
    <hyperlink ref="L28" r:id="rId24" xr:uid="{6AA4B5D1-771D-4EF9-8BE5-0B87675F1AE4}"/>
    <hyperlink ref="L39" r:id="rId25" xr:uid="{1392B79D-B0E0-45E9-9D95-61352B38C5BD}"/>
    <hyperlink ref="L45" r:id="rId26" xr:uid="{A8FE0E11-21CA-49D0-B2EB-275533D8B556}"/>
    <hyperlink ref="L10" r:id="rId27" display="https://www.digikey.com/en/products/detail/chip-quik-inc/SMDTCLF/2177048" xr:uid="{716CB0C7-94BB-454E-A787-88F1C74C9C7D}"/>
    <hyperlink ref="L30" r:id="rId28" display="https://www.digikey.com/en/products/detail/yageo/RC0603FR-105K1L/14286463?gclsrc=aw.ds&amp;gad_source=1&amp;gad_campaignid=20232005509&amp;gclid=CjwKCAjwn4vQBhBsEiwAq3hhN_0KU8WmZ7A9dyLRiJD4yzLYcp3Bi5MUMXUHPFWvKCClIkYP5CIoDRoCuvUQAvD_BwE" xr:uid="{2D02D75D-4FA6-4771-B9CB-966EBFE55BF0}"/>
    <hyperlink ref="L31" r:id="rId29" display="https://www.digikey.com/en/products/detail/stackpole-electronics-inc/RMCF0603FT23K2/1713802" xr:uid="{5EA9F065-10D1-48C8-B85D-CB6FE5D1A2E4}"/>
    <hyperlink ref="L32" r:id="rId30" display="https://www.digikey.com/en/products/detail/kemet/C0603C103K4RECAUTO/8640474?gclsrc=aw.ds&amp;gad_source=1&amp;gad_campaignid=20228387720&amp;gclid=CjwKCAjwn4vQBhBsEiwAq3hhNw0-NZMRnznCQPpUXCS-Bg1d2bRi--8rJBNXqPnaoiT68Nx_VBVsERoCuVwQAvD_BwE" xr:uid="{0B5A3D3C-068C-4FE6-9E00-4E937B93A565}"/>
    <hyperlink ref="L33" r:id="rId31" display="https://www.digikey.com/en/products/detail/yageo/RC0603FR-132K2L/13694214?gclsrc=aw.ds&amp;gad_source=1&amp;gad_campaignid=20232005509&amp;gclid=CjwKCAjwn4vQBhBsEiwAq3hhN82smXk-6kn-RJRxXjmLo0eCuKGvuNPqx9Ikk1gliBSiKBhMYkY5choCOs4QAvD_BwE" xr:uid="{C5A4A73E-6105-427B-8CE1-F74E6077CBB8}"/>
    <hyperlink ref="L34" r:id="rId32" display="https://www.digikey.com/en/products/detail/murata-electronics/GRM188R61C475ME11J/10693161?gclsrc=aw.ds&amp;gad_source=1&amp;gad_campaignid=20509818233&amp;gclid=CjwKCAjwn4vQBhBsEiwAq3hhNwIcMd19zJS5u3BWm815skxDUMFOT6uhMqHV_HP_b-eC2OZ4p5kyqBoCDD0QAvD_BwE" xr:uid="{78F2F43A-2160-4F43-894A-9E6E05D94843}"/>
    <hyperlink ref="L35" r:id="rId33" display="https://www.digikey.com/en/products/detail/murata-electronics/GRT188R61H225KE13D/5416754?gclsrc=aw.ds&amp;gad_source=1&amp;gad_campaignid=20509818233&amp;gclid=CjwKCAjwn4vQBhBsEiwAq3hhN6GIrDzT1b08tzsDRp8YVyrYwNkGUM3dZFJPdDcCjUQXojofn0VAdxoCWjkQAvD_BwE" xr:uid="{ED6406C9-DB5C-45A3-BACA-79235AA8C1C2}"/>
    <hyperlink ref="L36" r:id="rId34" display="https://www.digikey.com/en/products/detail/adafruit-industries-llc/4684/13170959?gclsrc=aw.ds&amp;gad_source=1&amp;gad_campaignid=20228387720&amp;gclid=CjwKCAjwn4vQBhBsEiwAq3hhN-MVFtcjhAE8U78cfT_oLymbAnMvxyA1kKJPHmMBUkEq5UrT54kJqBoCZ5wQAvD_BwE" xr:uid="{17B5FD6D-5457-4710-B456-E9D25D15EAC7}"/>
    <hyperlink ref="L37" r:id="rId35" xr:uid="{8CD7934B-A6B7-4572-A0B3-236BE2FD20D2}"/>
    <hyperlink ref="L38" r:id="rId36" display="https://www.digikey.com/en/products/detail/murata-electronics/GRT188R61H105KE13D/5416752?gclsrc=aw.ds&amp;gad_source=1&amp;gad_campaignid=20509818233&amp;gclid=CjwKCAjwn4vQBhBsEiwAq3hhN_dPMh_gAEiyhPO5pmFff7ls2F6Mc8YuC6XpRynxU3auz7kuzlYeQRoCrgcQAvD_BwE" xr:uid="{93929C61-FA2B-427E-B2B9-2C6535FB2279}"/>
    <hyperlink ref="L41" r:id="rId37" display="https://www.digikey.com/en/products/detail/yageo/RC0603FR-0722KL/727056?gclsrc=aw.ds&amp;gad_source=1&amp;gad_campaignid=20232005509&amp;gclid=CjwKCAjwn4vQBhBsEiwAq3hhN8Yt9lPriMYfqBbTQP5lVN7l3r2wq5zf3_1XVHCjHHh-NEw1JxFhwhoCVpsQAvD_BwE" xr:uid="{2B09B824-A129-4B88-A346-D985554A2E2A}"/>
    <hyperlink ref="L42" r:id="rId38" display="https://www.digikey.com/en/products/detail/yageo/RC0603FR-071K3L/726858?gclsrc=aw.ds&amp;gad_source=1&amp;gad_campaignid=20232005509&amp;gclid=CjwKCAjwn4vQBhBsEiwAq3hhN3Va9Q3tohGAg46X0INK8XjNeuaqJzNuXDj7yIqcqnGoZHbzB5kB_BoCoUIQAvD_BwE" xr:uid="{FF0C305A-EE72-4C42-9B74-ED708726F96A}"/>
    <hyperlink ref="L43" r:id="rId39" display="https://www.digikey.com/en/products/detail/taiyo-yuden/LMK212B7225MGHT/6563125" xr:uid="{AA3FDC06-B695-4B16-87D9-06301CBC4493}"/>
    <hyperlink ref="L44" r:id="rId40" display="https://www.digikey.com/en/products/detail/panasonic-industry/ERJ-3EKF4122V/196347?gclsrc=aw.ds&amp;gad_source=1&amp;gad_campaignid=20232005509&amp;gclid=CjwKCAjwn4vQBhBsEiwAq3hhN6awjGykUmrUtsk9j-uvpBEz1lzyQSwEAlNiq69kOcDrfeC3zvLg0hoCRssQAvD_BwE" xr:uid="{4C1F6998-6408-4BF7-B4A0-4A24647ABD53}"/>
    <hyperlink ref="L46" r:id="rId41" xr:uid="{64412D20-3827-45C7-9615-020E1E91ABF0}"/>
    <hyperlink ref="L47" r:id="rId42" xr:uid="{D0CFC0FD-BC69-45C6-AE73-0C85CA9358B8}"/>
    <hyperlink ref="L48" r:id="rId43" xr:uid="{CB4CFEFD-0C62-4999-9C99-B589918A0DE5}"/>
    <hyperlink ref="L49" r:id="rId44" xr:uid="{C6D6B8CA-8C14-4C80-A9AB-5847106ADE23}"/>
    <hyperlink ref="L50" r:id="rId45" xr:uid="{7E00C5D6-F24D-4294-935B-08B1EB59DEB0}"/>
    <hyperlink ref="L51" r:id="rId46" xr:uid="{CA397D61-4E28-4ABF-83CD-8E21E5B04305}"/>
    <hyperlink ref="L24" r:id="rId47" display="https://www.digikey.com/en/products/detail/murata-electronics/GRM188R60J476ME01D/13996874" xr:uid="{CDAA0105-7F4B-45A0-A66C-67873213B683}"/>
    <hyperlink ref="L29" r:id="rId48" display="https://www.digikey.com/en/products/detail/murata-electronics/GRM188Z71A106MA73J/17854471?gclsrc=aw.ds&amp;gad_source=1&amp;gad_campaignid=20509818233&amp;gclid=CjwKCAjwn4vQBhBsEiwAq3hhN4neuUsx9VbOtJA5sbSTZaHk2YePnZEz3I5fUlQLIg9KMzgG37Eb3RoCinkQAvD_BwE" xr:uid="{4F3220CC-7330-4EC3-977C-1CCD97DFA254}"/>
    <hyperlink ref="L40" r:id="rId49" display="https://www.digikey.com/en/products/detail/w%C3%BCrth-elektronik/150080BS75000/4489912" xr:uid="{3D22CF67-5CE6-4C29-B50D-BD1366E25578}"/>
    <hyperlink ref="L6" r:id="rId50" xr:uid="{69F6DFCA-9BAF-4793-94C5-184C56585F5E}"/>
    <hyperlink ref="M5" r:id="rId51" xr:uid="{3713F426-6FDD-4515-B8CB-A0C6F6E5C1F2}"/>
    <hyperlink ref="L5" r:id="rId52" display="https://oshpark.com/orders/eWR4FPZK/complete" xr:uid="{1D4224C7-018F-432A-B2ED-5A398385B1D3}"/>
  </hyperlinks>
  <pageMargins left="0.7" right="0.7" top="0.75" bottom="0.75" header="0.3" footer="0.3"/>
  <pageSetup orientation="portrait" r:id="rId5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DA91ED0B4D44486C9BD57E53708E9" ma:contentTypeVersion="18" ma:contentTypeDescription="Create a new document." ma:contentTypeScope="" ma:versionID="fd6cfeae258f3ce93fb76907ed7f9633">
  <xsd:schema xmlns:xsd="http://www.w3.org/2001/XMLSchema" xmlns:xs="http://www.w3.org/2001/XMLSchema" xmlns:p="http://schemas.microsoft.com/office/2006/metadata/properties" xmlns:ns2="4def3c0a-76b0-474b-af9a-bec607c5a212" xmlns:ns3="317e1d9e-ac89-42e2-b2ab-616cc20714e3" targetNamespace="http://schemas.microsoft.com/office/2006/metadata/properties" ma:root="true" ma:fieldsID="4eafc4299cb9546fbcdc290ada8732d6" ns2:_="" ns3:_="">
    <xsd:import namespace="4def3c0a-76b0-474b-af9a-bec607c5a212"/>
    <xsd:import namespace="317e1d9e-ac89-42e2-b2ab-616cc2071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f3c0a-76b0-474b-af9a-bec607c5a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e1d9e-ac89-42e2-b2ab-616cc2071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eb90759-5dd6-45b1-9843-26015edfb1fb}" ma:internalName="TaxCatchAll" ma:showField="CatchAllData" ma:web="317e1d9e-ac89-42e2-b2ab-616cc2071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7e1d9e-ac89-42e2-b2ab-616cc20714e3" xsi:nil="true"/>
    <lcf76f155ced4ddcb4097134ff3c332f xmlns="4def3c0a-76b0-474b-af9a-bec607c5a2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61D9E5-2AE5-4974-A3F4-83B408440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ef3c0a-76b0-474b-af9a-bec607c5a212"/>
    <ds:schemaRef ds:uri="317e1d9e-ac89-42e2-b2ab-616cc2071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4CD4C0-3DFC-4553-9CE0-EB55A666BD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44D29-7983-48A2-8822-938CCA38C9F7}">
  <ds:schemaRefs>
    <ds:schemaRef ds:uri="http://purl.org/dc/dcmitype/"/>
    <ds:schemaRef ds:uri="http://purl.org/dc/elements/1.1/"/>
    <ds:schemaRef ds:uri="4def3c0a-76b0-474b-af9a-bec607c5a212"/>
    <ds:schemaRef ds:uri="317e1d9e-ac89-42e2-b2ab-616cc20714e3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4-26 Order Approved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Stec, Grant T C2C USAF USAFA CW/CS02</dc:creator>
  <cp:keywords/>
  <dc:description/>
  <cp:lastModifiedBy>Stec, Grant T C2C USAF USAFA CW/CS02</cp:lastModifiedBy>
  <cp:revision/>
  <dcterms:created xsi:type="dcterms:W3CDTF">2025-09-03T22:43:42Z</dcterms:created>
  <dcterms:modified xsi:type="dcterms:W3CDTF">2026-07-06T00:06:02Z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0x010100D45DA91ED0B4D44486C9BD57E53708E9</vt:lpwstr>
  </property>
  <property fmtid="{D5CDD505-2E9C-101B-9397-08002B2CF9AE}" pid="3" name="MediaServiceImageTags">
    <vt:lpwstr/>
  </property>
</Properties>
</file>